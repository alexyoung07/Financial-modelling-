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12609\Desktop\"/>
    </mc:Choice>
  </mc:AlternateContent>
  <xr:revisionPtr revIDLastSave="0" documentId="13_ncr:1_{DCE18D29-CC8A-42F8-8187-CB537523CF5B}" xr6:coauthVersionLast="47" xr6:coauthVersionMax="47" xr10:uidLastSave="{00000000-0000-0000-0000-000000000000}"/>
  <bookViews>
    <workbookView xWindow="-110" yWindow="-110" windowWidth="25820" windowHeight="15500" activeTab="3" xr2:uid="{00000000-000D-0000-FFFF-FFFF00000000}"/>
  </bookViews>
  <sheets>
    <sheet name="comp valuation" sheetId="7" r:id="rId1"/>
    <sheet name="DCF" sheetId="6" r:id="rId2"/>
    <sheet name="working capital projection" sheetId="8" r:id="rId3"/>
    <sheet name="income statement" sheetId="3" r:id="rId4"/>
    <sheet name="balance sheet " sheetId="4" r:id="rId5"/>
    <sheet name="cash flow" sheetId="5" r:id="rId6"/>
  </sheets>
  <calcPr calcId="181029" iterate="1" iterateCount="1000" iterateDelta="9.8999999999999999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53" i="6" l="1"/>
  <c r="U53" i="6"/>
  <c r="V53" i="6"/>
  <c r="W53" i="6"/>
  <c r="X53" i="6"/>
  <c r="T28" i="6"/>
  <c r="U28" i="6" s="1"/>
  <c r="V28" i="6" s="1"/>
  <c r="W28" i="6" s="1"/>
  <c r="X28" i="6" s="1"/>
  <c r="Y28" i="6" s="1"/>
  <c r="S81" i="6"/>
  <c r="S79" i="6"/>
  <c r="S78" i="6"/>
  <c r="G58" i="4"/>
  <c r="Y47" i="6"/>
  <c r="X47" i="6"/>
  <c r="W47" i="6"/>
  <c r="V47" i="6"/>
  <c r="U47" i="6"/>
  <c r="T47" i="6"/>
  <c r="Y50" i="6"/>
  <c r="X50" i="6"/>
  <c r="W50" i="6"/>
  <c r="V50" i="6"/>
  <c r="U50" i="6"/>
  <c r="T50" i="6"/>
  <c r="Y53" i="6"/>
  <c r="Y37" i="6"/>
  <c r="X37" i="6"/>
  <c r="V37" i="6"/>
  <c r="T37" i="6"/>
  <c r="H68" i="6"/>
  <c r="C17" i="6" l="1"/>
  <c r="C15" i="6"/>
  <c r="C14" i="6"/>
  <c r="E61" i="4" l="1"/>
  <c r="F61" i="4"/>
  <c r="D61" i="4"/>
  <c r="G39" i="4"/>
  <c r="G10" i="4"/>
  <c r="H19" i="8" l="1"/>
  <c r="H14" i="8"/>
  <c r="H58" i="6"/>
  <c r="G58" i="6"/>
  <c r="F58" i="6"/>
  <c r="E26" i="8"/>
  <c r="F26" i="8"/>
  <c r="E25" i="8"/>
  <c r="F25" i="8"/>
  <c r="D25" i="8"/>
  <c r="K36" i="8"/>
  <c r="L36" i="8"/>
  <c r="M36" i="8"/>
  <c r="N36" i="8"/>
  <c r="J36" i="8"/>
  <c r="K10" i="8"/>
  <c r="L10" i="8"/>
  <c r="M10" i="8"/>
  <c r="N10" i="8"/>
  <c r="J10" i="8"/>
  <c r="F42" i="6"/>
  <c r="M47" i="6"/>
  <c r="N47" i="6"/>
  <c r="O47" i="6"/>
  <c r="P47" i="6"/>
  <c r="L47" i="6"/>
  <c r="M50" i="6"/>
  <c r="N50" i="6"/>
  <c r="O50" i="6"/>
  <c r="P50" i="6"/>
  <c r="L50" i="6"/>
  <c r="N53" i="6"/>
  <c r="P53" i="6"/>
  <c r="L53" i="6"/>
  <c r="N37" i="6"/>
  <c r="P37" i="6"/>
  <c r="L37" i="6"/>
  <c r="N33" i="6"/>
  <c r="P33" i="6"/>
  <c r="L33" i="6"/>
  <c r="N28" i="6"/>
  <c r="M28" i="6"/>
  <c r="L28" i="6"/>
  <c r="F28" i="6"/>
  <c r="J42" i="6"/>
  <c r="I17" i="4"/>
  <c r="I18" i="4"/>
  <c r="J34" i="6"/>
  <c r="H9" i="8"/>
  <c r="H14" i="3"/>
  <c r="G17" i="3"/>
  <c r="G15" i="3"/>
  <c r="G44" i="6"/>
  <c r="H44" i="6"/>
  <c r="G49" i="6"/>
  <c r="H49" i="6"/>
  <c r="F49" i="6"/>
  <c r="H32" i="6"/>
  <c r="E9" i="8"/>
  <c r="F9" i="8"/>
  <c r="D9" i="8"/>
  <c r="J32" i="6" l="1"/>
  <c r="E21" i="8" l="1"/>
  <c r="F21" i="8"/>
  <c r="D21" i="8"/>
  <c r="E20" i="8"/>
  <c r="E36" i="8" s="1"/>
  <c r="F20" i="8"/>
  <c r="D20" i="8"/>
  <c r="E19" i="8"/>
  <c r="F19" i="8"/>
  <c r="D19" i="8"/>
  <c r="D35" i="8" s="1"/>
  <c r="E15" i="8"/>
  <c r="E33" i="8" s="1"/>
  <c r="F15" i="8"/>
  <c r="F33" i="8" s="1"/>
  <c r="D15" i="8"/>
  <c r="E14" i="8"/>
  <c r="E32" i="8" s="1"/>
  <c r="F14" i="8"/>
  <c r="F32" i="8" s="1"/>
  <c r="D14" i="8"/>
  <c r="D32" i="8" s="1"/>
  <c r="G32" i="8" s="1"/>
  <c r="E13" i="8"/>
  <c r="F13" i="8"/>
  <c r="D13" i="8"/>
  <c r="E8" i="8"/>
  <c r="E10" i="8" s="1"/>
  <c r="F8" i="8"/>
  <c r="F10" i="8" s="1"/>
  <c r="D8" i="8"/>
  <c r="D10" i="8" s="1"/>
  <c r="E13" i="5"/>
  <c r="E54" i="4"/>
  <c r="F54" i="4"/>
  <c r="D54" i="4"/>
  <c r="F53" i="4"/>
  <c r="E53" i="4"/>
  <c r="D53" i="4"/>
  <c r="E46" i="4"/>
  <c r="F46" i="4"/>
  <c r="D46" i="4"/>
  <c r="E41" i="4"/>
  <c r="F41" i="4"/>
  <c r="D41" i="4"/>
  <c r="E36" i="4"/>
  <c r="F36" i="4"/>
  <c r="D36" i="4"/>
  <c r="F35" i="4"/>
  <c r="F33" i="4"/>
  <c r="E24" i="4"/>
  <c r="F24" i="4"/>
  <c r="D24" i="4"/>
  <c r="E19" i="4"/>
  <c r="F19" i="4"/>
  <c r="D19" i="4"/>
  <c r="F20" i="4"/>
  <c r="E20" i="4"/>
  <c r="F18" i="4"/>
  <c r="E18" i="4"/>
  <c r="E15" i="4"/>
  <c r="E25" i="4" s="1"/>
  <c r="D15" i="4"/>
  <c r="F15" i="4"/>
  <c r="F25" i="4" s="1"/>
  <c r="G12" i="3"/>
  <c r="E15" i="3"/>
  <c r="F15" i="3"/>
  <c r="D15" i="3"/>
  <c r="F12" i="3"/>
  <c r="E12" i="3"/>
  <c r="F39" i="3"/>
  <c r="D39" i="3"/>
  <c r="F36" i="3"/>
  <c r="E36" i="3"/>
  <c r="D36" i="3"/>
  <c r="F35" i="3"/>
  <c r="E35" i="3"/>
  <c r="F28" i="3"/>
  <c r="E28" i="3"/>
  <c r="D28" i="3"/>
  <c r="E29" i="3"/>
  <c r="E31" i="3" s="1"/>
  <c r="E34" i="3" s="1"/>
  <c r="E38" i="3" s="1"/>
  <c r="E40" i="3" s="1"/>
  <c r="F29" i="3"/>
  <c r="F31" i="3" s="1"/>
  <c r="F34" i="3" s="1"/>
  <c r="E27" i="3"/>
  <c r="F27" i="3"/>
  <c r="D27" i="3"/>
  <c r="E25" i="3"/>
  <c r="F25" i="3"/>
  <c r="D24" i="3"/>
  <c r="E23" i="3"/>
  <c r="D23" i="3"/>
  <c r="F23" i="3"/>
  <c r="E16" i="3"/>
  <c r="E17" i="3" s="1"/>
  <c r="F16" i="3"/>
  <c r="F17" i="3" s="1"/>
  <c r="D16" i="3"/>
  <c r="F36" i="8" l="1"/>
  <c r="E22" i="8"/>
  <c r="E35" i="8"/>
  <c r="D22" i="8"/>
  <c r="D36" i="8"/>
  <c r="G36" i="8" s="1"/>
  <c r="F22" i="8"/>
  <c r="F35" i="8"/>
  <c r="G35" i="8" s="1"/>
  <c r="F16" i="8"/>
  <c r="F24" i="8" s="1"/>
  <c r="E31" i="8"/>
  <c r="D31" i="8"/>
  <c r="D16" i="8"/>
  <c r="D24" i="8" s="1"/>
  <c r="D33" i="8"/>
  <c r="G33" i="8" s="1"/>
  <c r="E16" i="8"/>
  <c r="E24" i="8" s="1"/>
  <c r="F31" i="8"/>
  <c r="D25" i="4"/>
  <c r="F38" i="3"/>
  <c r="F40" i="3" s="1"/>
  <c r="D29" i="3"/>
  <c r="D31" i="3" s="1"/>
  <c r="D34" i="3" s="1"/>
  <c r="D38" i="3" s="1"/>
  <c r="D40" i="3" s="1"/>
  <c r="D25" i="3"/>
  <c r="G31" i="8" l="1"/>
  <c r="F68" i="6"/>
  <c r="G68" i="6"/>
  <c r="H10" i="4"/>
  <c r="J72" i="6"/>
  <c r="S76" i="6" s="1"/>
  <c r="J79" i="6"/>
  <c r="J75" i="6" s="1"/>
  <c r="G74" i="6"/>
  <c r="F74" i="6"/>
  <c r="H74" i="6"/>
  <c r="F79" i="6"/>
  <c r="H79" i="6"/>
  <c r="H75" i="6" s="1"/>
  <c r="G79" i="6"/>
  <c r="G75" i="6" s="1"/>
  <c r="F80" i="6"/>
  <c r="H72" i="6"/>
  <c r="G72" i="6"/>
  <c r="F72" i="6"/>
  <c r="G52" i="6"/>
  <c r="G50" i="6" s="1"/>
  <c r="H52" i="6"/>
  <c r="H50" i="6" s="1"/>
  <c r="J52" i="6" l="1"/>
  <c r="F75" i="6"/>
  <c r="C19" i="6" l="1"/>
  <c r="C18" i="6" s="1"/>
  <c r="J84" i="6" s="1"/>
  <c r="J35" i="6"/>
  <c r="H11" i="3"/>
  <c r="H12" i="3" s="1"/>
  <c r="J36" i="6" l="1"/>
  <c r="J44" i="6"/>
  <c r="J69" i="6" s="1"/>
  <c r="J27" i="6"/>
  <c r="J66" i="6"/>
  <c r="L27" i="6" l="1"/>
  <c r="L46" i="6" s="1"/>
  <c r="J33" i="6"/>
  <c r="J46" i="6"/>
  <c r="J47" i="6" s="1"/>
  <c r="J37" i="6"/>
  <c r="H8" i="8"/>
  <c r="J53" i="6"/>
  <c r="H27" i="6"/>
  <c r="G27" i="6"/>
  <c r="F27" i="6"/>
  <c r="F33" i="6" s="1"/>
  <c r="F44" i="6"/>
  <c r="F52" i="6"/>
  <c r="H34" i="6"/>
  <c r="G34" i="6"/>
  <c r="F34" i="6"/>
  <c r="B9" i="6"/>
  <c r="D17" i="3"/>
  <c r="J8" i="8" l="1"/>
  <c r="H10" i="8"/>
  <c r="H21" i="8"/>
  <c r="H22" i="8" s="1"/>
  <c r="H15" i="8"/>
  <c r="H13" i="8"/>
  <c r="H16" i="8" s="1"/>
  <c r="M27" i="6"/>
  <c r="L36" i="6"/>
  <c r="L52" i="6"/>
  <c r="L49" i="6" s="1"/>
  <c r="F53" i="6"/>
  <c r="F50" i="6"/>
  <c r="I50" i="6" s="1"/>
  <c r="J49" i="6" s="1"/>
  <c r="J40" i="6" s="1"/>
  <c r="H33" i="6"/>
  <c r="H53" i="6"/>
  <c r="H36" i="6"/>
  <c r="G33" i="6"/>
  <c r="I33" i="6" s="1"/>
  <c r="G53" i="6"/>
  <c r="F36" i="6"/>
  <c r="G36" i="6"/>
  <c r="G66" i="6" s="1"/>
  <c r="G28" i="6"/>
  <c r="H28" i="6"/>
  <c r="J28" i="6"/>
  <c r="C16" i="6"/>
  <c r="M46" i="6" l="1"/>
  <c r="K8" i="8"/>
  <c r="J68" i="6"/>
  <c r="C21" i="6"/>
  <c r="J73" i="6" s="1"/>
  <c r="J76" i="6" s="1"/>
  <c r="F94" i="6" s="1"/>
  <c r="J13" i="8"/>
  <c r="J9" i="8"/>
  <c r="J21" i="8"/>
  <c r="J15" i="8"/>
  <c r="H24" i="8"/>
  <c r="I53" i="6"/>
  <c r="H40" i="6"/>
  <c r="H46" i="6"/>
  <c r="H37" i="6"/>
  <c r="F46" i="6"/>
  <c r="F37" i="6"/>
  <c r="H66" i="6"/>
  <c r="M36" i="6"/>
  <c r="M52" i="6"/>
  <c r="M49" i="6" s="1"/>
  <c r="N27" i="6"/>
  <c r="G40" i="6"/>
  <c r="G46" i="6"/>
  <c r="G37" i="6"/>
  <c r="L40" i="6"/>
  <c r="F40" i="6"/>
  <c r="F66" i="6"/>
  <c r="F93" i="6" l="1"/>
  <c r="F92" i="6" s="1"/>
  <c r="F95" i="6"/>
  <c r="F96" i="6" s="1"/>
  <c r="I91" i="6"/>
  <c r="J85" i="6"/>
  <c r="Y61" i="6" s="1"/>
  <c r="F47" i="6"/>
  <c r="F60" i="6"/>
  <c r="H47" i="6"/>
  <c r="H60" i="6"/>
  <c r="J14" i="8"/>
  <c r="J16" i="8" s="1"/>
  <c r="J19" i="8"/>
  <c r="J22" i="8" s="1"/>
  <c r="G47" i="6"/>
  <c r="I47" i="6" s="1"/>
  <c r="G60" i="6"/>
  <c r="N46" i="6"/>
  <c r="L8" i="8"/>
  <c r="K15" i="8"/>
  <c r="K13" i="8"/>
  <c r="K21" i="8"/>
  <c r="K9" i="8"/>
  <c r="H26" i="8"/>
  <c r="J58" i="6" s="1"/>
  <c r="J60" i="6" s="1"/>
  <c r="H25" i="8"/>
  <c r="N36" i="6"/>
  <c r="O27" i="6"/>
  <c r="N52" i="6"/>
  <c r="N49" i="6" s="1"/>
  <c r="M40" i="6"/>
  <c r="I37" i="6"/>
  <c r="X61" i="6" l="1"/>
  <c r="W61" i="6"/>
  <c r="J61" i="6"/>
  <c r="J62" i="6" s="1"/>
  <c r="L61" i="6"/>
  <c r="V61" i="6"/>
  <c r="U61" i="6"/>
  <c r="T61" i="6"/>
  <c r="P61" i="6"/>
  <c r="O61" i="6"/>
  <c r="N61" i="6"/>
  <c r="M61" i="6"/>
  <c r="F91" i="6"/>
  <c r="M73" i="6"/>
  <c r="J91" i="6"/>
  <c r="K91" i="6" s="1"/>
  <c r="H91" i="6"/>
  <c r="G91" i="6" s="1"/>
  <c r="O46" i="6"/>
  <c r="M8" i="8"/>
  <c r="L13" i="8"/>
  <c r="L9" i="8"/>
  <c r="L15" i="8"/>
  <c r="L21" i="8"/>
  <c r="K14" i="8"/>
  <c r="K16" i="8" s="1"/>
  <c r="K19" i="8"/>
  <c r="K22" i="8" s="1"/>
  <c r="J24" i="8"/>
  <c r="L56" i="6" s="1"/>
  <c r="P27" i="6"/>
  <c r="T27" i="6" s="1"/>
  <c r="O36" i="6"/>
  <c r="O52" i="6"/>
  <c r="O49" i="6" s="1"/>
  <c r="N40" i="6"/>
  <c r="T36" i="6" l="1"/>
  <c r="T52" i="6"/>
  <c r="T49" i="6" s="1"/>
  <c r="T46" i="6"/>
  <c r="U27" i="6"/>
  <c r="P8" i="8"/>
  <c r="P24" i="8" s="1"/>
  <c r="J25" i="8"/>
  <c r="J26" i="8"/>
  <c r="L58" i="6" s="1"/>
  <c r="K24" i="8"/>
  <c r="M56" i="6" s="1"/>
  <c r="L14" i="8"/>
  <c r="L16" i="8" s="1"/>
  <c r="L19" i="8"/>
  <c r="L22" i="8" s="1"/>
  <c r="M9" i="8"/>
  <c r="M21" i="8"/>
  <c r="M13" i="8"/>
  <c r="M15" i="8"/>
  <c r="P46" i="6"/>
  <c r="N8" i="8"/>
  <c r="O40" i="6"/>
  <c r="P36" i="6"/>
  <c r="P52" i="6"/>
  <c r="P49" i="6" s="1"/>
  <c r="Q28" i="6"/>
  <c r="V27" i="6" l="1"/>
  <c r="U36" i="6"/>
  <c r="Q8" i="8"/>
  <c r="Q24" i="8" s="1"/>
  <c r="Q26" i="8" s="1"/>
  <c r="U58" i="6" s="1"/>
  <c r="U46" i="6"/>
  <c r="T40" i="6"/>
  <c r="L60" i="6"/>
  <c r="L62" i="6" s="1"/>
  <c r="L55" i="6"/>
  <c r="L24" i="8"/>
  <c r="N56" i="6" s="1"/>
  <c r="N9" i="8"/>
  <c r="N21" i="8"/>
  <c r="N13" i="8"/>
  <c r="N15" i="8"/>
  <c r="M19" i="8"/>
  <c r="M22" i="8" s="1"/>
  <c r="M14" i="8"/>
  <c r="M16" i="8" s="1"/>
  <c r="K25" i="8"/>
  <c r="K26" i="8"/>
  <c r="M58" i="6" s="1"/>
  <c r="P40" i="6"/>
  <c r="L26" i="8" l="1"/>
  <c r="N58" i="6" s="1"/>
  <c r="L25" i="8"/>
  <c r="V46" i="6"/>
  <c r="R8" i="8"/>
  <c r="R24" i="8" s="1"/>
  <c r="R26" i="8" s="1"/>
  <c r="V58" i="6" s="1"/>
  <c r="W27" i="6"/>
  <c r="V36" i="6"/>
  <c r="M24" i="8"/>
  <c r="O56" i="6" s="1"/>
  <c r="M60" i="6"/>
  <c r="M62" i="6" s="1"/>
  <c r="M55" i="6"/>
  <c r="N60" i="6"/>
  <c r="N62" i="6" s="1"/>
  <c r="N55" i="6"/>
  <c r="M25" i="8"/>
  <c r="M26" i="8"/>
  <c r="O58" i="6" s="1"/>
  <c r="N14" i="8"/>
  <c r="N16" i="8" s="1"/>
  <c r="N19" i="8"/>
  <c r="N22" i="8" s="1"/>
  <c r="W46" i="6" l="1"/>
  <c r="W52" i="6"/>
  <c r="W49" i="6" s="1"/>
  <c r="S8" i="8"/>
  <c r="S24" i="8" s="1"/>
  <c r="S26" i="8" s="1"/>
  <c r="W58" i="6" s="1"/>
  <c r="W36" i="6"/>
  <c r="X27" i="6"/>
  <c r="O60" i="6"/>
  <c r="O62" i="6" s="1"/>
  <c r="O55" i="6"/>
  <c r="N24" i="8"/>
  <c r="W60" i="6" l="1"/>
  <c r="W62" i="6" s="1"/>
  <c r="W40" i="6"/>
  <c r="X46" i="6"/>
  <c r="T8" i="8"/>
  <c r="T24" i="8" s="1"/>
  <c r="T26" i="8" s="1"/>
  <c r="X58" i="6" s="1"/>
  <c r="Y27" i="6"/>
  <c r="X36" i="6"/>
  <c r="N25" i="8"/>
  <c r="P56" i="6"/>
  <c r="P26" i="8"/>
  <c r="T58" i="6" s="1"/>
  <c r="T60" i="6" s="1"/>
  <c r="T62" i="6" s="1"/>
  <c r="N26" i="8"/>
  <c r="Y46" i="6" l="1"/>
  <c r="Y52" i="6"/>
  <c r="Y49" i="6" s="1"/>
  <c r="U8" i="8"/>
  <c r="U24" i="8" s="1"/>
  <c r="U26" i="8" s="1"/>
  <c r="Y58" i="6" s="1"/>
  <c r="Y60" i="6" s="1"/>
  <c r="Y36" i="6"/>
  <c r="Y40" i="6" s="1"/>
  <c r="M75" i="6" s="1"/>
  <c r="P58" i="6"/>
  <c r="P55" i="6" s="1"/>
  <c r="M72" i="6" l="1"/>
  <c r="M74" i="6" s="1"/>
  <c r="M77" i="6" s="1"/>
  <c r="S71" i="6" s="1"/>
  <c r="Y62" i="6"/>
  <c r="P60" i="6"/>
  <c r="M76" i="6" l="1"/>
  <c r="P62" i="6"/>
  <c r="U52" i="6"/>
  <c r="U49" i="6" s="1"/>
  <c r="V52" i="6"/>
  <c r="V49" i="6" s="1"/>
  <c r="X52" i="6"/>
  <c r="X49" i="6" s="1"/>
  <c r="X40" i="6" l="1"/>
  <c r="X60" i="6"/>
  <c r="X62" i="6" s="1"/>
  <c r="V40" i="6"/>
  <c r="V60" i="6"/>
  <c r="V62" i="6" s="1"/>
  <c r="U40" i="6"/>
  <c r="U60" i="6"/>
  <c r="U62" i="6" s="1"/>
  <c r="S70" i="6" s="1"/>
  <c r="S74" i="6" s="1"/>
  <c r="S72" i="6" l="1"/>
  <c r="S80" i="6"/>
  <c r="S82" i="6" s="1"/>
  <c r="B11" i="6" s="1"/>
</calcChain>
</file>

<file path=xl/sharedStrings.xml><?xml version="1.0" encoding="utf-8"?>
<sst xmlns="http://schemas.openxmlformats.org/spreadsheetml/2006/main" count="271" uniqueCount="225">
  <si>
    <t xml:space="preserve">601168 SH </t>
    <phoneticPr fontId="1" type="noConversion"/>
  </si>
  <si>
    <t>ticker</t>
    <phoneticPr fontId="1" type="noConversion"/>
  </si>
  <si>
    <t>date</t>
    <phoneticPr fontId="1" type="noConversion"/>
  </si>
  <si>
    <t xml:space="preserve">income statement </t>
    <phoneticPr fontId="1" type="noConversion"/>
  </si>
  <si>
    <t xml:space="preserve">601168 SH </t>
  </si>
  <si>
    <t>07/19/2025</t>
    <phoneticPr fontId="1" type="noConversion"/>
  </si>
  <si>
    <t xml:space="preserve">actual </t>
    <phoneticPr fontId="1" type="noConversion"/>
  </si>
  <si>
    <t>cost of goods sold</t>
    <phoneticPr fontId="1" type="noConversion"/>
  </si>
  <si>
    <t>unit</t>
    <phoneticPr fontId="1" type="noConversion"/>
  </si>
  <si>
    <t>gross profit</t>
  </si>
  <si>
    <t>SGA</t>
    <phoneticPr fontId="1" type="noConversion"/>
  </si>
  <si>
    <t>R&amp;D</t>
    <phoneticPr fontId="1" type="noConversion"/>
  </si>
  <si>
    <t>1 = 10k</t>
    <phoneticPr fontId="1" type="noConversion"/>
  </si>
  <si>
    <t xml:space="preserve">balance sheet </t>
    <phoneticPr fontId="1" type="noConversion"/>
  </si>
  <si>
    <t xml:space="preserve">asset </t>
    <phoneticPr fontId="1" type="noConversion"/>
  </si>
  <si>
    <t>inventories</t>
    <phoneticPr fontId="1" type="noConversion"/>
  </si>
  <si>
    <t>other current asset</t>
    <phoneticPr fontId="1" type="noConversion"/>
  </si>
  <si>
    <t xml:space="preserve">EBIT </t>
    <phoneticPr fontId="1" type="noConversion"/>
  </si>
  <si>
    <t>EBIT MARGIN</t>
    <phoneticPr fontId="1" type="noConversion"/>
  </si>
  <si>
    <t xml:space="preserve">yoy growth </t>
    <phoneticPr fontId="1" type="noConversion"/>
  </si>
  <si>
    <t xml:space="preserve">intangible assets </t>
    <phoneticPr fontId="1" type="noConversion"/>
  </si>
  <si>
    <t>goodwill</t>
    <phoneticPr fontId="1" type="noConversion"/>
  </si>
  <si>
    <t>total asset</t>
    <phoneticPr fontId="1" type="noConversion"/>
  </si>
  <si>
    <t>Liabilities</t>
    <phoneticPr fontId="1" type="noConversion"/>
  </si>
  <si>
    <t>other current liabilities</t>
    <phoneticPr fontId="1" type="noConversion"/>
  </si>
  <si>
    <t>shareholders equity</t>
    <phoneticPr fontId="1" type="noConversion"/>
  </si>
  <si>
    <t>APIC</t>
    <phoneticPr fontId="1" type="noConversion"/>
  </si>
  <si>
    <t xml:space="preserve">retained earning </t>
    <phoneticPr fontId="1" type="noConversion"/>
  </si>
  <si>
    <t xml:space="preserve">minority interest </t>
    <phoneticPr fontId="1" type="noConversion"/>
  </si>
  <si>
    <t xml:space="preserve">cash flow </t>
    <phoneticPr fontId="1" type="noConversion"/>
  </si>
  <si>
    <t xml:space="preserve">other inflow </t>
    <phoneticPr fontId="1" type="noConversion"/>
  </si>
  <si>
    <t xml:space="preserve">other outflow </t>
    <phoneticPr fontId="1" type="noConversion"/>
  </si>
  <si>
    <t xml:space="preserve">investing cash flow </t>
    <phoneticPr fontId="1" type="noConversion"/>
  </si>
  <si>
    <t>cash received from disposal investment</t>
    <phoneticPr fontId="1" type="noConversion"/>
  </si>
  <si>
    <t>cash received from return of  investment</t>
    <phoneticPr fontId="1" type="noConversion"/>
  </si>
  <si>
    <t>total cash inflow from investing</t>
    <phoneticPr fontId="1" type="noConversion"/>
  </si>
  <si>
    <t xml:space="preserve">cash paid to acquire ppe </t>
    <phoneticPr fontId="1" type="noConversion"/>
  </si>
  <si>
    <t>cash paid to acquire invetsment</t>
    <phoneticPr fontId="1" type="noConversion"/>
  </si>
  <si>
    <t>total cash outflow from investing</t>
    <phoneticPr fontId="1" type="noConversion"/>
  </si>
  <si>
    <t>net investing flow</t>
    <phoneticPr fontId="1" type="noConversion"/>
  </si>
  <si>
    <t xml:space="preserve">financing cash flow </t>
    <phoneticPr fontId="1" type="noConversion"/>
  </si>
  <si>
    <t xml:space="preserve">cash from borrowing </t>
    <phoneticPr fontId="1" type="noConversion"/>
  </si>
  <si>
    <t>cash from bond issue</t>
    <phoneticPr fontId="1" type="noConversion"/>
  </si>
  <si>
    <t xml:space="preserve">total financing inflow </t>
    <phoneticPr fontId="1" type="noConversion"/>
  </si>
  <si>
    <t>borrowing repayment</t>
    <phoneticPr fontId="1" type="noConversion"/>
  </si>
  <si>
    <t xml:space="preserve">dividend payment </t>
    <phoneticPr fontId="1" type="noConversion"/>
  </si>
  <si>
    <t xml:space="preserve">stock buyback </t>
    <phoneticPr fontId="1" type="noConversion"/>
  </si>
  <si>
    <t xml:space="preserve">total financing outflow </t>
    <phoneticPr fontId="1" type="noConversion"/>
  </si>
  <si>
    <t>net financing flow</t>
    <phoneticPr fontId="1" type="noConversion"/>
  </si>
  <si>
    <t xml:space="preserve">begnning cash and equivalents </t>
    <phoneticPr fontId="1" type="noConversion"/>
  </si>
  <si>
    <t xml:space="preserve">total net flow </t>
    <phoneticPr fontId="1" type="noConversion"/>
  </si>
  <si>
    <t xml:space="preserve">end period cash </t>
    <phoneticPr fontId="1" type="noConversion"/>
  </si>
  <si>
    <t>current price</t>
    <phoneticPr fontId="1" type="noConversion"/>
  </si>
  <si>
    <t xml:space="preserve">net income </t>
    <phoneticPr fontId="1" type="noConversion"/>
  </si>
  <si>
    <t xml:space="preserve">interest payment </t>
    <phoneticPr fontId="1" type="noConversion"/>
  </si>
  <si>
    <t xml:space="preserve">income tax rate </t>
    <phoneticPr fontId="1" type="noConversion"/>
  </si>
  <si>
    <t xml:space="preserve">income tax </t>
    <phoneticPr fontId="1" type="noConversion"/>
  </si>
  <si>
    <t>EBIT</t>
    <phoneticPr fontId="1" type="noConversion"/>
  </si>
  <si>
    <t>change in net working capital</t>
    <phoneticPr fontId="1" type="noConversion"/>
  </si>
  <si>
    <t>capitl expenditures</t>
    <phoneticPr fontId="1" type="noConversion"/>
  </si>
  <si>
    <t xml:space="preserve">free cash flow </t>
    <phoneticPr fontId="1" type="noConversion"/>
  </si>
  <si>
    <t xml:space="preserve">cost of equity </t>
    <phoneticPr fontId="1" type="noConversion"/>
  </si>
  <si>
    <t>market value of equity</t>
    <phoneticPr fontId="1" type="noConversion"/>
  </si>
  <si>
    <t>EBIAT</t>
    <phoneticPr fontId="1" type="noConversion"/>
  </si>
  <si>
    <t>fully diluted sharesoutstanding</t>
    <phoneticPr fontId="1" type="noConversion"/>
  </si>
  <si>
    <t xml:space="preserve">government bond rate </t>
    <phoneticPr fontId="1" type="noConversion"/>
  </si>
  <si>
    <t xml:space="preserve">coverage ratio </t>
    <phoneticPr fontId="1" type="noConversion"/>
  </si>
  <si>
    <t>pre-tax cost of debt</t>
    <phoneticPr fontId="1" type="noConversion"/>
  </si>
  <si>
    <t xml:space="preserve">levered beta </t>
    <phoneticPr fontId="1" type="noConversion"/>
  </si>
  <si>
    <t xml:space="preserve">unlevered beta </t>
    <phoneticPr fontId="1" type="noConversion"/>
  </si>
  <si>
    <t>net income before tax</t>
  </si>
  <si>
    <t xml:space="preserve">revenue </t>
  </si>
  <si>
    <t>2025-LTM</t>
  </si>
  <si>
    <t xml:space="preserve">debt average maturity </t>
  </si>
  <si>
    <t>EBITDA</t>
  </si>
  <si>
    <t xml:space="preserve">market value of debt </t>
  </si>
  <si>
    <t xml:space="preserve">book value of long debt </t>
  </si>
  <si>
    <t>stock price</t>
  </si>
  <si>
    <t xml:space="preserve">book value of equity </t>
  </si>
  <si>
    <t>2025 -LTM</t>
  </si>
  <si>
    <t xml:space="preserve">pre-cost of debt </t>
  </si>
  <si>
    <t>revenue  yoy</t>
  </si>
  <si>
    <t>million</t>
  </si>
  <si>
    <t>depreciation &amp; amortization</t>
  </si>
  <si>
    <t>other operating expenses</t>
  </si>
  <si>
    <t xml:space="preserve">other , net </t>
  </si>
  <si>
    <t xml:space="preserve">net income before taxes </t>
  </si>
  <si>
    <t xml:space="preserve">provision for income taxes </t>
  </si>
  <si>
    <t xml:space="preserve">revenue  </t>
  </si>
  <si>
    <t>total operating expenses</t>
  </si>
  <si>
    <t xml:space="preserve">noncontrolling interest </t>
  </si>
  <si>
    <t xml:space="preserve">net income </t>
  </si>
  <si>
    <t xml:space="preserve">common shares </t>
  </si>
  <si>
    <t>earning per share</t>
  </si>
  <si>
    <t xml:space="preserve">% of sales </t>
  </si>
  <si>
    <t>Operating income</t>
  </si>
  <si>
    <t>2026 E</t>
  </si>
  <si>
    <t>2027 E</t>
  </si>
  <si>
    <t>na</t>
  </si>
  <si>
    <t>reported income statement</t>
  </si>
  <si>
    <t>Fiscal Year Ending Decemeber 31</t>
  </si>
  <si>
    <t>2022A</t>
  </si>
  <si>
    <t>2023A</t>
  </si>
  <si>
    <t>2024A</t>
  </si>
  <si>
    <t>2025 LTM</t>
  </si>
  <si>
    <t>CAGR</t>
  </si>
  <si>
    <t xml:space="preserve">%sales </t>
  </si>
  <si>
    <t>%margin</t>
  </si>
  <si>
    <t>current asset</t>
  </si>
  <si>
    <t xml:space="preserve">total current asset </t>
  </si>
  <si>
    <t xml:space="preserve">PPE </t>
  </si>
  <si>
    <t xml:space="preserve">PPE  accu depreciation </t>
  </si>
  <si>
    <t xml:space="preserve">long term investment </t>
  </si>
  <si>
    <t xml:space="preserve">accounts payable </t>
  </si>
  <si>
    <t>accrued expenses</t>
  </si>
  <si>
    <t xml:space="preserve">notes payable/short term debt </t>
  </si>
  <si>
    <t xml:space="preserve">current port of LT debt/ capital lease </t>
  </si>
  <si>
    <t xml:space="preserve">total current liability </t>
  </si>
  <si>
    <t xml:space="preserve">long term debt </t>
  </si>
  <si>
    <t xml:space="preserve">capital lease obiligations </t>
  </si>
  <si>
    <t xml:space="preserve">total long term debt </t>
  </si>
  <si>
    <t xml:space="preserve">total debt </t>
  </si>
  <si>
    <t>deferred income tax</t>
  </si>
  <si>
    <t xml:space="preserve">other liabilities </t>
  </si>
  <si>
    <t>total liab</t>
  </si>
  <si>
    <t xml:space="preserve">common stock </t>
  </si>
  <si>
    <t>other equit</t>
  </si>
  <si>
    <t xml:space="preserve">total equity </t>
  </si>
  <si>
    <t xml:space="preserve">total liability and equity </t>
  </si>
  <si>
    <t>2025- LTM</t>
  </si>
  <si>
    <t>cash and marketable  securities</t>
  </si>
  <si>
    <t xml:space="preserve">cash taxes paid </t>
  </si>
  <si>
    <t xml:space="preserve">changes in workigin capital </t>
  </si>
  <si>
    <t xml:space="preserve">cash from operating activities </t>
  </si>
  <si>
    <t xml:space="preserve">capital expenditures </t>
  </si>
  <si>
    <t xml:space="preserve">other investing cash flow </t>
  </si>
  <si>
    <t>cash from investing activities</t>
  </si>
  <si>
    <t>financing cash flow items</t>
  </si>
  <si>
    <t xml:space="preserve">total cash dividend paid </t>
  </si>
  <si>
    <t xml:space="preserve">issuance of debt </t>
  </si>
  <si>
    <t xml:space="preserve">cash from financing activities </t>
  </si>
  <si>
    <t>historical period</t>
  </si>
  <si>
    <t>accounts receivable</t>
  </si>
  <si>
    <t>inventories</t>
  </si>
  <si>
    <t>prepaid expenses and other</t>
  </si>
  <si>
    <t xml:space="preserve">current liablities </t>
  </si>
  <si>
    <t xml:space="preserve">accrued liabilties </t>
  </si>
  <si>
    <t>sales</t>
  </si>
  <si>
    <t xml:space="preserve">  </t>
  </si>
  <si>
    <t xml:space="preserve">total current assets </t>
  </si>
  <si>
    <t xml:space="preserve">total current liabilities </t>
  </si>
  <si>
    <t>Assumptions</t>
  </si>
  <si>
    <t xml:space="preserve">days sales outstanding </t>
  </si>
  <si>
    <t xml:space="preserve">day inventory held </t>
  </si>
  <si>
    <t>prepaid expense</t>
  </si>
  <si>
    <t>total receivable</t>
  </si>
  <si>
    <t>other long term assets</t>
  </si>
  <si>
    <t xml:space="preserve">total non current asset </t>
  </si>
  <si>
    <t>net ppe</t>
  </si>
  <si>
    <t>other liabilities</t>
  </si>
  <si>
    <t xml:space="preserve">working capital projection : current asset means non cash asset and current libailties means non interesr bearing liabilties </t>
  </si>
  <si>
    <t xml:space="preserve">net working capital </t>
  </si>
  <si>
    <t>cogs</t>
  </si>
  <si>
    <t>prepaid % sales</t>
  </si>
  <si>
    <t>days payable outstanding</t>
  </si>
  <si>
    <t xml:space="preserve">accrued % sales </t>
  </si>
  <si>
    <t>3 year avg</t>
  </si>
  <si>
    <t xml:space="preserve">CAGR </t>
  </si>
  <si>
    <t xml:space="preserve">Operating data </t>
  </si>
  <si>
    <t xml:space="preserve">profit margin </t>
  </si>
  <si>
    <t xml:space="preserve">EBIT margin </t>
  </si>
  <si>
    <t>D&amp;A</t>
  </si>
  <si>
    <t xml:space="preserve">effective income tax rate </t>
  </si>
  <si>
    <t>%sales</t>
  </si>
  <si>
    <t>% Capex</t>
  </si>
  <si>
    <t xml:space="preserve">Historcial Period </t>
  </si>
  <si>
    <t>2028 E</t>
  </si>
  <si>
    <t>2029 E</t>
  </si>
  <si>
    <t>2030 E</t>
  </si>
  <si>
    <t xml:space="preserve">Adjusted income statement </t>
  </si>
  <si>
    <t>projection period</t>
  </si>
  <si>
    <t>% sales</t>
  </si>
  <si>
    <t xml:space="preserve">(increase)/ decrease in capital </t>
  </si>
  <si>
    <t>ROE</t>
  </si>
  <si>
    <t xml:space="preserve">ROIC </t>
  </si>
  <si>
    <t xml:space="preserve">equity market premium </t>
  </si>
  <si>
    <t>default spread(coverage ratio)</t>
  </si>
  <si>
    <t xml:space="preserve">market debt value </t>
  </si>
  <si>
    <t>wacc</t>
  </si>
  <si>
    <t>D/(D+E)</t>
  </si>
  <si>
    <t xml:space="preserve">WACC sensitivity analysis </t>
  </si>
  <si>
    <t>pre-tax cost  of debt</t>
  </si>
  <si>
    <t>pertutity growth rate</t>
  </si>
  <si>
    <t xml:space="preserve">reinvestment rate </t>
  </si>
  <si>
    <t>return of IC</t>
  </si>
  <si>
    <t xml:space="preserve">Terminal free cash flow  </t>
  </si>
  <si>
    <t xml:space="preserve">terminal value </t>
  </si>
  <si>
    <t>terminal EBITDA</t>
  </si>
  <si>
    <t>2031 E</t>
  </si>
  <si>
    <t>2032 E</t>
  </si>
  <si>
    <t>2033 E</t>
  </si>
  <si>
    <t>2034 E</t>
  </si>
  <si>
    <t>2035 E</t>
  </si>
  <si>
    <t>2036 E</t>
  </si>
  <si>
    <t>Implied exit multiple</t>
  </si>
  <si>
    <t xml:space="preserve">discount factor </t>
  </si>
  <si>
    <t>present value of free cash flow</t>
  </si>
  <si>
    <t xml:space="preserve">present terminal value </t>
  </si>
  <si>
    <t>Enterprise value</t>
  </si>
  <si>
    <t xml:space="preserve">present value of free csh flow </t>
  </si>
  <si>
    <t xml:space="preserve">enterprise value </t>
  </si>
  <si>
    <t xml:space="preserve">% of enterprise value </t>
  </si>
  <si>
    <t xml:space="preserve">less:total debt value </t>
  </si>
  <si>
    <t xml:space="preserve">less: preferred securities </t>
  </si>
  <si>
    <t xml:space="preserve">less noncontrolling interest </t>
  </si>
  <si>
    <t xml:space="preserve">plus: cash and cash equivalents </t>
  </si>
  <si>
    <t>impled euity value</t>
  </si>
  <si>
    <t xml:space="preserve">total common stock </t>
  </si>
  <si>
    <t xml:space="preserve">price per share </t>
  </si>
  <si>
    <t xml:space="preserve">Present terminal value calculation </t>
  </si>
  <si>
    <t xml:space="preserve">DCF Analysis: 3 stage DCF model include working capital projection, sensitivity analysis, and equity value implication     </t>
  </si>
  <si>
    <t>Projection Period  - 2</t>
  </si>
  <si>
    <t>Projection Period -1</t>
  </si>
  <si>
    <t xml:space="preserve">implied price </t>
  </si>
  <si>
    <r>
      <rPr>
        <b/>
        <sz val="14"/>
        <color theme="1"/>
        <rFont val="Calibri"/>
        <family val="2"/>
        <scheme val="minor"/>
      </rPr>
      <t>revenue assumption</t>
    </r>
    <r>
      <rPr>
        <sz val="14"/>
        <color theme="1"/>
        <rFont val="Calibri"/>
        <family val="2"/>
        <scheme val="minor"/>
      </rPr>
      <t xml:space="preserve">: given the main business in the company and high correlation between copper price and stock price, the revenue growh could be in 3 satge , in the first stage, the growth rate is double digit and reinvesment rate keeps high, in the second stage the gap  between demand and supply squeezes so revenue growth starts declining as well as capital expenditure and net working capital. In the final stage, the growth converge to the constant rate or perpetuity growth rate. In that case, we assume the fixed rate = 3% which is roughly equal to the GDP growth rate in China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</si>
</sst>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Red]\(#,##0.00\)"/>
    <numFmt numFmtId="167" formatCode="yyyy\E"/>
    <numFmt numFmtId="168" formatCode="#,##0.00;[Red]#,##0.00"/>
    <numFmt numFmtId="175" formatCode="0.0"/>
    <numFmt numFmtId="176" formatCode="0.0%"/>
    <numFmt numFmtId="190" formatCode="0\x"/>
  </numFmts>
  <fonts count="14">
    <font>
      <sz val="11"/>
      <color theme="1"/>
      <name val="Calibri"/>
      <family val="2"/>
      <scheme val="minor"/>
    </font>
    <font>
      <sz val="9"/>
      <name val="Calibri"/>
      <family val="3"/>
      <charset val="134"/>
      <scheme val="minor"/>
    </font>
    <font>
      <sz val="11"/>
      <color theme="1"/>
      <name val="Calibri"/>
      <family val="2"/>
      <scheme val="minor"/>
    </font>
    <font>
      <sz val="10"/>
      <name val="Geneva"/>
      <family val="2"/>
      <charset val="1"/>
    </font>
    <font>
      <sz val="10"/>
      <name val="Geneva"/>
      <charset val="134"/>
    </font>
    <font>
      <b/>
      <sz val="11"/>
      <color theme="1"/>
      <name val="Calibri"/>
      <family val="3"/>
      <charset val="134"/>
      <scheme val="minor"/>
    </font>
    <font>
      <sz val="11"/>
      <color theme="1"/>
      <name val="Calibri"/>
      <family val="3"/>
      <charset val="134"/>
      <scheme val="minor"/>
    </font>
    <font>
      <i/>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
      <sz val="20"/>
      <color theme="1"/>
      <name val="Calibri"/>
      <family val="2"/>
      <scheme val="minor"/>
    </font>
    <font>
      <sz val="14"/>
      <color theme="1"/>
      <name val="Calibri"/>
      <family val="2"/>
      <scheme val="minor"/>
    </font>
    <font>
      <b/>
      <sz val="14"/>
      <color theme="1"/>
      <name val="Calibri"/>
      <family val="2"/>
      <scheme val="minor"/>
    </font>
  </fonts>
  <fills count="9">
    <fill>
      <patternFill patternType="none"/>
    </fill>
    <fill>
      <patternFill patternType="gray125"/>
    </fill>
    <fill>
      <patternFill patternType="solid">
        <fgColor theme="7" tint="0.39997558519241921"/>
        <bgColor indexed="64"/>
      </patternFill>
    </fill>
    <fill>
      <patternFill patternType="solid">
        <fgColor theme="4" tint="0.39997558519241921"/>
        <bgColor indexed="64"/>
      </patternFill>
    </fill>
    <fill>
      <patternFill patternType="solid">
        <fgColor theme="7"/>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2" fillId="0" borderId="0" applyFont="0" applyFill="0" applyBorder="0" applyAlignment="0" applyProtection="0">
      <alignment vertical="center"/>
    </xf>
    <xf numFmtId="0" fontId="4" fillId="0" borderId="0"/>
    <xf numFmtId="9" fontId="3" fillId="0" borderId="0" applyFont="0" applyFill="0" applyBorder="0" applyAlignment="0" applyProtection="0"/>
  </cellStyleXfs>
  <cellXfs count="57">
    <xf numFmtId="0" fontId="0" fillId="0" borderId="0" xfId="0"/>
    <xf numFmtId="0" fontId="0" fillId="2" borderId="1" xfId="0" applyFill="1" applyBorder="1"/>
    <xf numFmtId="0" fontId="5" fillId="0" borderId="0" xfId="0" applyFont="1"/>
    <xf numFmtId="0" fontId="6" fillId="0" borderId="0" xfId="0" applyFont="1"/>
    <xf numFmtId="164" fontId="0" fillId="0" borderId="0" xfId="0" applyNumberFormat="1"/>
    <xf numFmtId="9" fontId="0" fillId="0" borderId="0" xfId="1" applyFont="1" applyAlignment="1"/>
    <xf numFmtId="164" fontId="0" fillId="0" borderId="0" xfId="1" applyNumberFormat="1" applyFont="1" applyAlignment="1"/>
    <xf numFmtId="0" fontId="0" fillId="4" borderId="0" xfId="0" applyFill="1"/>
    <xf numFmtId="10" fontId="0" fillId="0" borderId="0" xfId="1" applyNumberFormat="1" applyFont="1" applyAlignment="1"/>
    <xf numFmtId="2" fontId="0" fillId="0" borderId="0" xfId="0" applyNumberFormat="1"/>
    <xf numFmtId="0" fontId="8" fillId="0" borderId="0" xfId="0" applyFont="1"/>
    <xf numFmtId="10" fontId="0" fillId="0" borderId="0" xfId="0" applyNumberFormat="1"/>
    <xf numFmtId="0" fontId="8" fillId="3" borderId="0" xfId="0" applyFont="1" applyFill="1"/>
    <xf numFmtId="0" fontId="7" fillId="0" borderId="0" xfId="0" applyFont="1"/>
    <xf numFmtId="10" fontId="7" fillId="0" borderId="0" xfId="0" applyNumberFormat="1" applyFont="1"/>
    <xf numFmtId="168" fontId="0" fillId="0" borderId="0" xfId="0" applyNumberFormat="1"/>
    <xf numFmtId="0" fontId="0" fillId="0" borderId="0" xfId="0" applyAlignment="1">
      <alignment vertical="top" wrapText="1"/>
    </xf>
    <xf numFmtId="0" fontId="0" fillId="0" borderId="0" xfId="0" applyAlignment="1">
      <alignment wrapText="1"/>
    </xf>
    <xf numFmtId="0" fontId="0" fillId="0" borderId="0" xfId="0" applyAlignment="1">
      <alignment horizontal="center"/>
    </xf>
    <xf numFmtId="0" fontId="0" fillId="0" borderId="0" xfId="0" applyAlignment="1">
      <alignment horizontal="left" vertical="top"/>
    </xf>
    <xf numFmtId="0" fontId="8" fillId="3" borderId="0" xfId="0" applyFont="1" applyFill="1"/>
    <xf numFmtId="0" fontId="8" fillId="3" borderId="0" xfId="0" applyFont="1" applyFill="1" applyAlignment="1">
      <alignment horizontal="left"/>
    </xf>
    <xf numFmtId="0" fontId="0" fillId="0" borderId="0" xfId="0" applyFont="1"/>
    <xf numFmtId="175" fontId="0" fillId="0" borderId="0" xfId="0" applyNumberFormat="1"/>
    <xf numFmtId="176" fontId="0" fillId="0" borderId="0" xfId="1" applyNumberFormat="1" applyFont="1" applyAlignment="1"/>
    <xf numFmtId="0" fontId="0" fillId="0" borderId="0" xfId="0" applyBorder="1" applyAlignment="1">
      <alignment horizontal="center"/>
    </xf>
    <xf numFmtId="1" fontId="0" fillId="0" borderId="0" xfId="0" applyNumberFormat="1"/>
    <xf numFmtId="9" fontId="0" fillId="0" borderId="0" xfId="0" applyNumberFormat="1"/>
    <xf numFmtId="10" fontId="0" fillId="3" borderId="0" xfId="0" applyNumberFormat="1" applyFont="1" applyFill="1"/>
    <xf numFmtId="10" fontId="0" fillId="3" borderId="0" xfId="1" applyNumberFormat="1" applyFont="1" applyFill="1" applyAlignment="1"/>
    <xf numFmtId="10" fontId="0" fillId="5" borderId="0" xfId="1" applyNumberFormat="1" applyFont="1" applyFill="1" applyAlignment="1"/>
    <xf numFmtId="190" fontId="8" fillId="0" borderId="0" xfId="0" applyNumberFormat="1" applyFont="1"/>
    <xf numFmtId="0" fontId="0" fillId="0" borderId="0" xfId="0" applyAlignment="1">
      <alignment horizontal="left" vertical="top" wrapText="1"/>
    </xf>
    <xf numFmtId="0" fontId="0" fillId="0" borderId="0" xfId="0" applyFont="1" applyBorder="1" applyAlignment="1">
      <alignment horizontal="left" vertical="top" wrapText="1"/>
    </xf>
    <xf numFmtId="0" fontId="0" fillId="0" borderId="0" xfId="0" applyFont="1" applyBorder="1"/>
    <xf numFmtId="10" fontId="0" fillId="2" borderId="1" xfId="1" applyNumberFormat="1" applyFont="1" applyFill="1" applyBorder="1" applyAlignment="1"/>
    <xf numFmtId="10" fontId="0" fillId="2" borderId="1" xfId="0" applyNumberFormat="1" applyFill="1" applyBorder="1"/>
    <xf numFmtId="2" fontId="0" fillId="2" borderId="1" xfId="0" applyNumberFormat="1" applyFill="1" applyBorder="1"/>
    <xf numFmtId="1" fontId="0" fillId="2" borderId="1" xfId="0" applyNumberFormat="1" applyFill="1" applyBorder="1"/>
    <xf numFmtId="167" fontId="8" fillId="0" borderId="0" xfId="0" applyNumberFormat="1" applyFont="1" applyAlignment="1">
      <alignment horizontal="right"/>
    </xf>
    <xf numFmtId="0" fontId="10" fillId="5" borderId="0" xfId="0" applyFont="1" applyFill="1"/>
    <xf numFmtId="167" fontId="10" fillId="5" borderId="0" xfId="0" applyNumberFormat="1" applyFont="1" applyFill="1" applyAlignment="1">
      <alignment horizontal="right"/>
    </xf>
    <xf numFmtId="0" fontId="10" fillId="5" borderId="2" xfId="0" applyFont="1" applyFill="1" applyBorder="1" applyAlignment="1">
      <alignment horizontal="center"/>
    </xf>
    <xf numFmtId="0" fontId="10" fillId="5" borderId="3" xfId="0" applyFont="1" applyFill="1" applyBorder="1" applyAlignment="1">
      <alignment horizontal="center"/>
    </xf>
    <xf numFmtId="0" fontId="10" fillId="5" borderId="4" xfId="0" applyFont="1" applyFill="1" applyBorder="1" applyAlignment="1">
      <alignment horizontal="center"/>
    </xf>
    <xf numFmtId="0" fontId="10" fillId="6" borderId="0" xfId="0" applyFont="1" applyFill="1"/>
    <xf numFmtId="0" fontId="8" fillId="7" borderId="0" xfId="0" applyFont="1" applyFill="1" applyAlignment="1">
      <alignment horizontal="center"/>
    </xf>
    <xf numFmtId="0" fontId="0" fillId="7" borderId="0" xfId="0" applyFill="1"/>
    <xf numFmtId="0" fontId="8" fillId="7" borderId="0" xfId="0" applyFont="1" applyFill="1" applyAlignment="1">
      <alignment textRotation="90"/>
    </xf>
    <xf numFmtId="0" fontId="0" fillId="0" borderId="1" xfId="0" applyBorder="1"/>
    <xf numFmtId="0" fontId="6" fillId="0" borderId="1" xfId="0" applyFont="1" applyBorder="1"/>
    <xf numFmtId="14" fontId="6" fillId="2" borderId="1" xfId="0" applyNumberFormat="1" applyFont="1" applyFill="1" applyBorder="1"/>
    <xf numFmtId="0" fontId="6" fillId="2" borderId="1" xfId="0" applyFont="1" applyFill="1" applyBorder="1"/>
    <xf numFmtId="164" fontId="6" fillId="2" borderId="1" xfId="0" applyNumberFormat="1" applyFont="1" applyFill="1" applyBorder="1"/>
    <xf numFmtId="0" fontId="11" fillId="4" borderId="0" xfId="0" applyFont="1" applyFill="1" applyAlignment="1">
      <alignment horizontal="left" vertical="top" wrapText="1"/>
    </xf>
    <xf numFmtId="0" fontId="12" fillId="0" borderId="0" xfId="0" applyFont="1" applyBorder="1" applyAlignment="1">
      <alignment horizontal="left" vertical="top" wrapText="1"/>
    </xf>
    <xf numFmtId="0" fontId="10" fillId="8" borderId="0" xfId="0" applyFont="1" applyFill="1"/>
  </cellXfs>
  <cellStyles count="4">
    <cellStyle name="Normal" xfId="0" builtinId="0"/>
    <cellStyle name="Percent" xfId="1" builtinId="5"/>
    <cellStyle name="百分比 2" xfId="3" xr:uid="{75168144-0E7B-4BA5-B847-BA25A844A09C}"/>
    <cellStyle name="常规 2" xfId="2" xr:uid="{7D27B3BE-7B51-49AC-8ED5-E67B45528B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DCBDC-5632-4C6E-BB50-6D58923C5738}">
  <dimension ref="A1"/>
  <sheetViews>
    <sheetView workbookViewId="0">
      <selection activeCell="I11" sqref="I11"/>
    </sheetView>
  </sheetViews>
  <sheetFormatPr defaultRowHeight="1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2BD8-4A93-4CFD-9862-1AEC8A052989}">
  <dimension ref="A1:Y96"/>
  <sheetViews>
    <sheetView showGridLines="0" zoomScale="60" zoomScaleNormal="60" workbookViewId="0">
      <selection activeCell="J20" sqref="J20"/>
    </sheetView>
  </sheetViews>
  <sheetFormatPr defaultRowHeight="14.5" outlineLevelRow="1"/>
  <cols>
    <col min="1" max="1" width="13.54296875" customWidth="1"/>
    <col min="2" max="2" width="26" customWidth="1"/>
    <col min="3" max="3" width="23.36328125" customWidth="1"/>
    <col min="5" max="5" width="23.90625" customWidth="1"/>
    <col min="6" max="6" width="11.6328125" customWidth="1"/>
    <col min="7" max="7" width="14.81640625" customWidth="1"/>
    <col min="8" max="8" width="13.6328125" customWidth="1"/>
    <col min="9" max="9" width="13.90625" customWidth="1"/>
    <col min="10" max="10" width="14.453125" customWidth="1"/>
    <col min="11" max="11" width="11.81640625" customWidth="1"/>
    <col min="12" max="12" width="20.26953125" customWidth="1"/>
    <col min="13" max="13" width="15.36328125" customWidth="1"/>
    <col min="14" max="14" width="16.08984375" customWidth="1"/>
    <col min="15" max="15" width="15" customWidth="1"/>
    <col min="16" max="16" width="12" customWidth="1"/>
    <col min="19" max="19" width="16.81640625" customWidth="1"/>
    <col min="20" max="20" width="13.453125" customWidth="1"/>
    <col min="21" max="25" width="12.26953125" bestFit="1" customWidth="1"/>
  </cols>
  <sheetData>
    <row r="1" spans="1:17" ht="14.5" customHeight="1">
      <c r="A1" s="54" t="s">
        <v>220</v>
      </c>
      <c r="B1" s="54"/>
      <c r="C1" s="54"/>
      <c r="D1" s="54"/>
      <c r="E1" s="54"/>
      <c r="F1" s="54"/>
      <c r="G1" s="32"/>
      <c r="H1" s="32"/>
      <c r="I1" s="32"/>
      <c r="J1" s="32"/>
      <c r="K1" s="32"/>
    </row>
    <row r="2" spans="1:17" s="34" customFormat="1" ht="14.5" customHeight="1">
      <c r="A2" s="54"/>
      <c r="B2" s="54"/>
      <c r="C2" s="54"/>
      <c r="D2" s="54"/>
      <c r="E2" s="54"/>
      <c r="F2" s="54"/>
      <c r="G2" s="33"/>
      <c r="H2" s="33"/>
      <c r="I2" s="33"/>
      <c r="J2" s="33"/>
      <c r="K2" s="33"/>
    </row>
    <row r="3" spans="1:17" ht="14.5" customHeight="1">
      <c r="A3" s="54"/>
      <c r="B3" s="54"/>
      <c r="C3" s="54"/>
      <c r="D3" s="54"/>
      <c r="E3" s="54"/>
      <c r="F3" s="54"/>
      <c r="J3" s="55" t="s">
        <v>224</v>
      </c>
      <c r="K3" s="55"/>
      <c r="L3" s="55"/>
      <c r="M3" s="55"/>
      <c r="N3" s="55"/>
      <c r="O3" s="55"/>
      <c r="P3" s="55"/>
      <c r="Q3" s="55"/>
    </row>
    <row r="4" spans="1:17" s="3" customFormat="1" ht="14.5" customHeight="1">
      <c r="A4" s="54"/>
      <c r="B4" s="54"/>
      <c r="C4" s="54"/>
      <c r="D4" s="54"/>
      <c r="E4" s="54"/>
      <c r="F4" s="54"/>
      <c r="J4" s="55"/>
      <c r="K4" s="55"/>
      <c r="L4" s="55"/>
      <c r="M4" s="55"/>
      <c r="N4" s="55"/>
      <c r="O4" s="55"/>
      <c r="P4" s="55"/>
      <c r="Q4" s="55"/>
    </row>
    <row r="5" spans="1:17" s="3" customFormat="1">
      <c r="J5" s="55"/>
      <c r="K5" s="55"/>
      <c r="L5" s="55"/>
      <c r="M5" s="55"/>
      <c r="N5" s="55"/>
      <c r="O5" s="55"/>
      <c r="P5" s="55"/>
      <c r="Q5" s="55"/>
    </row>
    <row r="6" spans="1:17" s="3" customFormat="1">
      <c r="J6" s="55"/>
      <c r="K6" s="55"/>
      <c r="L6" s="55"/>
      <c r="M6" s="55"/>
      <c r="N6" s="55"/>
      <c r="O6" s="55"/>
      <c r="P6" s="55"/>
      <c r="Q6" s="55"/>
    </row>
    <row r="7" spans="1:17" s="3" customFormat="1">
      <c r="J7" s="55"/>
      <c r="K7" s="55"/>
      <c r="L7" s="55"/>
      <c r="M7" s="55"/>
      <c r="N7" s="55"/>
      <c r="O7" s="55"/>
      <c r="P7" s="55"/>
      <c r="Q7" s="55"/>
    </row>
    <row r="8" spans="1:17" s="3" customFormat="1">
      <c r="A8" s="49" t="s">
        <v>1</v>
      </c>
      <c r="B8" s="1" t="s">
        <v>0</v>
      </c>
      <c r="J8" s="55"/>
      <c r="K8" s="55"/>
      <c r="L8" s="55"/>
      <c r="M8" s="55"/>
      <c r="N8" s="55"/>
      <c r="O8" s="55"/>
      <c r="P8" s="55"/>
      <c r="Q8" s="55"/>
    </row>
    <row r="9" spans="1:17" s="3" customFormat="1">
      <c r="A9" s="50" t="s">
        <v>2</v>
      </c>
      <c r="B9" s="51">
        <f>DATE(2025,7,19)</f>
        <v>45857</v>
      </c>
      <c r="J9" s="55"/>
      <c r="K9" s="55"/>
      <c r="L9" s="55"/>
      <c r="M9" s="55"/>
      <c r="N9" s="55"/>
      <c r="O9" s="55"/>
      <c r="P9" s="55"/>
      <c r="Q9" s="55"/>
    </row>
    <row r="10" spans="1:17" s="3" customFormat="1">
      <c r="A10" s="50" t="s">
        <v>52</v>
      </c>
      <c r="B10" s="52">
        <v>17</v>
      </c>
      <c r="J10" s="55"/>
      <c r="K10" s="55"/>
      <c r="L10" s="55"/>
      <c r="M10" s="55"/>
      <c r="N10" s="55"/>
      <c r="O10" s="55"/>
      <c r="P10" s="55"/>
      <c r="Q10" s="55"/>
    </row>
    <row r="11" spans="1:17" s="3" customFormat="1">
      <c r="A11" s="50" t="s">
        <v>223</v>
      </c>
      <c r="B11" s="53">
        <f>S82</f>
        <v>14.623086540856868</v>
      </c>
    </row>
    <row r="12" spans="1:17" s="3" customFormat="1"/>
    <row r="13" spans="1:17" s="3" customFormat="1">
      <c r="A13" s="40" t="s">
        <v>151</v>
      </c>
      <c r="B13" s="40"/>
      <c r="C13" s="40"/>
      <c r="D13" s="56"/>
      <c r="E13" s="56"/>
      <c r="F13" s="56"/>
      <c r="G13" s="56"/>
      <c r="H13" s="56"/>
    </row>
    <row r="14" spans="1:17" s="3" customFormat="1">
      <c r="A14" t="s">
        <v>65</v>
      </c>
      <c r="B14"/>
      <c r="C14" s="35">
        <f>1.68%</f>
        <v>1.6799999999999999E-2</v>
      </c>
    </row>
    <row r="15" spans="1:17" s="3" customFormat="1">
      <c r="A15" t="s">
        <v>186</v>
      </c>
      <c r="B15"/>
      <c r="C15" s="35">
        <f>0.6%</f>
        <v>6.0000000000000001E-3</v>
      </c>
    </row>
    <row r="16" spans="1:17" s="3" customFormat="1">
      <c r="A16" t="s">
        <v>67</v>
      </c>
      <c r="B16"/>
      <c r="C16" s="35">
        <f>C14+C15</f>
        <v>2.2800000000000001E-2</v>
      </c>
    </row>
    <row r="17" spans="1:25" s="3" customFormat="1">
      <c r="A17" t="s">
        <v>185</v>
      </c>
      <c r="B17"/>
      <c r="C17" s="36">
        <f>5.28%</f>
        <v>5.28E-2</v>
      </c>
    </row>
    <row r="18" spans="1:25" s="3" customFormat="1">
      <c r="A18" t="s">
        <v>68</v>
      </c>
      <c r="B18"/>
      <c r="C18" s="37">
        <f>C19*(1+J72/J75*(1-0.1))</f>
        <v>1.721337908222458</v>
      </c>
    </row>
    <row r="19" spans="1:25" s="3" customFormat="1">
      <c r="A19" t="s">
        <v>69</v>
      </c>
      <c r="B19"/>
      <c r="C19" s="1">
        <f>1.28</f>
        <v>1.28</v>
      </c>
    </row>
    <row r="20" spans="1:25" s="3" customFormat="1">
      <c r="A20" t="s">
        <v>73</v>
      </c>
      <c r="B20"/>
      <c r="C20" s="1">
        <v>8</v>
      </c>
    </row>
    <row r="21" spans="1:25" s="3" customFormat="1">
      <c r="A21" t="s">
        <v>187</v>
      </c>
      <c r="B21"/>
      <c r="C21" s="38">
        <f>J34*(1-(1+C16)^(-C20))/C16 + 'balance sheet '!G39/(1+DCF!C16)^(DCF!C20)</f>
        <v>17060.596974902612</v>
      </c>
    </row>
    <row r="22" spans="1:25" s="3" customFormat="1"/>
    <row r="23" spans="1:25">
      <c r="F23" s="42" t="s">
        <v>175</v>
      </c>
      <c r="G23" s="43"/>
      <c r="H23" s="43"/>
      <c r="I23" s="43"/>
      <c r="J23" s="44"/>
      <c r="K23" s="25"/>
      <c r="L23" s="42" t="s">
        <v>222</v>
      </c>
      <c r="M23" s="43"/>
      <c r="N23" s="43"/>
      <c r="O23" s="43"/>
      <c r="P23" s="43"/>
      <c r="Q23" s="43"/>
      <c r="T23" s="42" t="s">
        <v>221</v>
      </c>
      <c r="U23" s="43"/>
      <c r="V23" s="43"/>
      <c r="W23" s="43"/>
      <c r="X23" s="43"/>
      <c r="Y23" s="43"/>
    </row>
    <row r="24" spans="1:25" s="10" customFormat="1">
      <c r="F24" s="40">
        <v>2022</v>
      </c>
      <c r="G24" s="40">
        <v>2023</v>
      </c>
      <c r="H24" s="40">
        <v>2024</v>
      </c>
      <c r="I24" s="40" t="s">
        <v>167</v>
      </c>
      <c r="J24" s="41" t="s">
        <v>72</v>
      </c>
      <c r="K24" s="39"/>
      <c r="L24" s="40" t="s">
        <v>96</v>
      </c>
      <c r="M24" s="40" t="s">
        <v>97</v>
      </c>
      <c r="N24" s="40" t="s">
        <v>176</v>
      </c>
      <c r="O24" s="40" t="s">
        <v>177</v>
      </c>
      <c r="P24" s="41" t="s">
        <v>178</v>
      </c>
      <c r="Q24" s="40" t="s">
        <v>105</v>
      </c>
      <c r="T24" s="40" t="s">
        <v>198</v>
      </c>
      <c r="U24" s="40" t="s">
        <v>199</v>
      </c>
      <c r="V24" s="40" t="s">
        <v>200</v>
      </c>
      <c r="W24" s="40" t="s">
        <v>201</v>
      </c>
      <c r="X24" s="40" t="s">
        <v>202</v>
      </c>
      <c r="Y24" s="40" t="s">
        <v>203</v>
      </c>
    </row>
    <row r="25" spans="1:25">
      <c r="F25" s="4"/>
      <c r="G25" s="4"/>
      <c r="H25" s="4"/>
      <c r="J25" s="4"/>
      <c r="K25" s="4"/>
      <c r="L25" s="4"/>
      <c r="M25" s="4"/>
      <c r="N25" s="4"/>
      <c r="O25" s="4"/>
    </row>
    <row r="26" spans="1:25">
      <c r="D26" s="10" t="s">
        <v>168</v>
      </c>
      <c r="F26" s="4"/>
      <c r="G26" s="4"/>
      <c r="H26" s="4"/>
      <c r="J26" s="4"/>
      <c r="K26" s="4"/>
      <c r="L26" s="4"/>
      <c r="M26" s="4"/>
      <c r="N26" s="4"/>
      <c r="O26" s="4"/>
    </row>
    <row r="27" spans="1:25">
      <c r="D27" t="s">
        <v>71</v>
      </c>
      <c r="F27" s="4">
        <f>40238.43</f>
        <v>40238.43</v>
      </c>
      <c r="G27" s="4">
        <f>42748.12</f>
        <v>42748.12</v>
      </c>
      <c r="H27" s="4">
        <f>50025.6</f>
        <v>50025.599999999999</v>
      </c>
      <c r="J27" s="4">
        <f>'income statement'!H11</f>
        <v>56670</v>
      </c>
      <c r="K27" s="4"/>
      <c r="L27" s="4">
        <f>J27*(1+L28)</f>
        <v>64603.80000000001</v>
      </c>
      <c r="M27" s="4">
        <f>L27*(1+M28)</f>
        <v>74294.37000000001</v>
      </c>
      <c r="N27" s="4">
        <f t="shared" ref="N27:P27" si="0">M27*(1+N28)</f>
        <v>86181.469200000007</v>
      </c>
      <c r="O27" s="4">
        <f t="shared" si="0"/>
        <v>100832.31896400001</v>
      </c>
      <c r="P27" s="4">
        <f t="shared" si="0"/>
        <v>115957.1668086</v>
      </c>
      <c r="T27">
        <f>P27*(1+T28)</f>
        <v>127552.88348946001</v>
      </c>
      <c r="U27">
        <f>T27*(1+U28)</f>
        <v>139032.64300351142</v>
      </c>
      <c r="V27">
        <f>U27*(1+V28)</f>
        <v>150155.25444379234</v>
      </c>
      <c r="W27">
        <f>V27*(1+W28)</f>
        <v>160666.12225485782</v>
      </c>
      <c r="X27">
        <f>W27*(1+X28)</f>
        <v>170306.08959014929</v>
      </c>
      <c r="Y27">
        <f>X27*(1+Y28)</f>
        <v>178821.39406965676</v>
      </c>
    </row>
    <row r="28" spans="1:25">
      <c r="D28" s="13" t="s">
        <v>81</v>
      </c>
      <c r="F28" s="5">
        <f>5%</f>
        <v>0.05</v>
      </c>
      <c r="G28" s="5">
        <f>G27/F27-1</f>
        <v>6.2370475190011154E-2</v>
      </c>
      <c r="H28" s="5">
        <f t="shared" ref="H28" si="1">H27/G27-1</f>
        <v>0.17024093691137754</v>
      </c>
      <c r="I28" s="5"/>
      <c r="J28" s="5">
        <f>J27/H27-1</f>
        <v>0.13281999616196516</v>
      </c>
      <c r="K28" s="4"/>
      <c r="L28" s="5">
        <f>14%</f>
        <v>0.14000000000000001</v>
      </c>
      <c r="M28" s="5">
        <f>0.15</f>
        <v>0.15</v>
      </c>
      <c r="N28" s="5">
        <f>0.16</f>
        <v>0.16</v>
      </c>
      <c r="O28" s="5">
        <v>0.17</v>
      </c>
      <c r="P28" s="5">
        <v>0.15</v>
      </c>
      <c r="Q28" s="5">
        <f>(P27/J27)^(1/5)-1</f>
        <v>0.15395500887626157</v>
      </c>
      <c r="T28" s="5">
        <f>0.1</f>
        <v>0.1</v>
      </c>
      <c r="U28" s="5">
        <f>T28-0.01</f>
        <v>9.0000000000000011E-2</v>
      </c>
      <c r="V28" s="5">
        <f>U28-0.01</f>
        <v>8.0000000000000016E-2</v>
      </c>
      <c r="W28" s="5">
        <f t="shared" ref="W28:Y28" si="2">V28-0.01</f>
        <v>7.0000000000000021E-2</v>
      </c>
      <c r="X28" s="5">
        <f t="shared" si="2"/>
        <v>6.0000000000000019E-2</v>
      </c>
      <c r="Y28" s="5">
        <f t="shared" si="2"/>
        <v>5.0000000000000017E-2</v>
      </c>
    </row>
    <row r="29" spans="1:25">
      <c r="F29" s="4"/>
      <c r="G29" s="4"/>
      <c r="H29" s="4"/>
      <c r="J29" s="4"/>
      <c r="K29" s="4"/>
      <c r="L29" s="4"/>
      <c r="M29" s="4"/>
      <c r="N29" s="4"/>
      <c r="O29" s="4"/>
    </row>
    <row r="30" spans="1:25">
      <c r="F30" s="4"/>
      <c r="G30" s="4"/>
      <c r="H30" s="4"/>
      <c r="J30" s="4"/>
      <c r="K30" s="4"/>
      <c r="L30" s="4"/>
      <c r="M30" s="4"/>
      <c r="N30" s="4"/>
      <c r="O30" s="4"/>
    </row>
    <row r="31" spans="1:25">
      <c r="F31" s="4"/>
      <c r="G31" s="4"/>
      <c r="H31" s="4"/>
      <c r="J31" s="4"/>
      <c r="K31" s="4"/>
      <c r="L31" s="4"/>
      <c r="M31" s="4"/>
      <c r="N31" s="4"/>
      <c r="O31" s="4"/>
    </row>
    <row r="32" spans="1:25" outlineLevel="1">
      <c r="D32" t="s">
        <v>53</v>
      </c>
      <c r="F32" s="4">
        <v>3417.35</v>
      </c>
      <c r="G32" s="4">
        <v>2789.28</v>
      </c>
      <c r="H32" s="4">
        <f>2931.55</f>
        <v>2931.55</v>
      </c>
      <c r="J32" s="4">
        <f>1870+H32-1620</f>
        <v>3181.55</v>
      </c>
      <c r="K32" s="4"/>
      <c r="L32" s="4"/>
      <c r="M32" s="4"/>
      <c r="N32" s="4"/>
      <c r="O32" s="4"/>
    </row>
    <row r="33" spans="4:25" outlineLevel="1">
      <c r="D33" s="13" t="s">
        <v>169</v>
      </c>
      <c r="F33" s="5">
        <f>F32/F27</f>
        <v>8.4927518295321164E-2</v>
      </c>
      <c r="G33" s="5">
        <f t="shared" ref="G33:H33" si="3">G32/G27</f>
        <v>6.524918522732695E-2</v>
      </c>
      <c r="H33" s="5">
        <f t="shared" si="3"/>
        <v>5.8600996289899579E-2</v>
      </c>
      <c r="I33" s="5">
        <f>AVERAGE(F33:H33)</f>
        <v>6.959256660418256E-2</v>
      </c>
      <c r="J33" s="5">
        <f>J32/J27</f>
        <v>5.6141697547203107E-2</v>
      </c>
      <c r="K33" s="4"/>
      <c r="L33" s="5">
        <f>7%</f>
        <v>7.0000000000000007E-2</v>
      </c>
      <c r="M33" s="5">
        <v>7.0000000000000007E-2</v>
      </c>
      <c r="N33" s="5">
        <f>7%</f>
        <v>7.0000000000000007E-2</v>
      </c>
      <c r="O33" s="5">
        <v>7.0000000000000007E-2</v>
      </c>
      <c r="P33" s="5">
        <f>7%</f>
        <v>7.0000000000000007E-2</v>
      </c>
    </row>
    <row r="34" spans="4:25" outlineLevel="1">
      <c r="D34" t="s">
        <v>54</v>
      </c>
      <c r="F34" s="4">
        <f>736.5</f>
        <v>736.5</v>
      </c>
      <c r="G34" s="4">
        <f xml:space="preserve"> 702.65</f>
        <v>702.65</v>
      </c>
      <c r="H34" s="4">
        <f>625.15</f>
        <v>625.15</v>
      </c>
      <c r="J34" s="4">
        <f>282.34+625.15-340.37</f>
        <v>567.12</v>
      </c>
      <c r="K34" s="4"/>
      <c r="L34" s="4"/>
      <c r="M34" s="4"/>
      <c r="N34" s="4"/>
      <c r="O34" s="4"/>
    </row>
    <row r="35" spans="4:25" outlineLevel="1">
      <c r="D35" t="s">
        <v>56</v>
      </c>
      <c r="F35" s="4">
        <v>578.04</v>
      </c>
      <c r="G35" s="4">
        <v>485.98</v>
      </c>
      <c r="H35" s="4">
        <v>698.69</v>
      </c>
      <c r="J35" s="4">
        <f>516.74+698.69-410.22</f>
        <v>805.21</v>
      </c>
      <c r="K35" s="4"/>
      <c r="L35" s="4"/>
      <c r="M35" s="4"/>
      <c r="N35" s="4"/>
      <c r="O35" s="4"/>
    </row>
    <row r="36" spans="4:25" outlineLevel="1">
      <c r="D36" t="s">
        <v>57</v>
      </c>
      <c r="F36" s="4">
        <f>F32+F34+F35</f>
        <v>4731.8900000000003</v>
      </c>
      <c r="G36" s="4">
        <f t="shared" ref="G36" si="4">G32+G34+G35</f>
        <v>3977.9100000000003</v>
      </c>
      <c r="H36" s="4">
        <f>H32+H34+H35</f>
        <v>4255.3900000000003</v>
      </c>
      <c r="J36" s="4">
        <f>J32+J35+J34</f>
        <v>4553.88</v>
      </c>
      <c r="K36" s="4"/>
      <c r="L36" s="4">
        <f>L27*L37</f>
        <v>6460.380000000001</v>
      </c>
      <c r="M36" s="4">
        <f t="shared" ref="M36:P36" si="5">M27*M37</f>
        <v>7429.4370000000017</v>
      </c>
      <c r="N36" s="4">
        <f t="shared" si="5"/>
        <v>8618.146920000001</v>
      </c>
      <c r="O36" s="4">
        <f t="shared" si="5"/>
        <v>10083.231896400001</v>
      </c>
      <c r="P36" s="4">
        <f t="shared" si="5"/>
        <v>11595.716680860001</v>
      </c>
      <c r="T36">
        <f>T27*T37</f>
        <v>12755.288348946002</v>
      </c>
      <c r="U36">
        <f t="shared" ref="U36:Y36" si="6">U27*U37</f>
        <v>13903.264300351142</v>
      </c>
      <c r="V36">
        <f t="shared" si="6"/>
        <v>15015.525444379235</v>
      </c>
      <c r="W36">
        <f t="shared" si="6"/>
        <v>16066.612225485784</v>
      </c>
      <c r="X36">
        <f t="shared" si="6"/>
        <v>17030.608959014931</v>
      </c>
      <c r="Y36">
        <f t="shared" si="6"/>
        <v>17882.139406965678</v>
      </c>
    </row>
    <row r="37" spans="4:25" outlineLevel="1">
      <c r="D37" s="13" t="s">
        <v>170</v>
      </c>
      <c r="F37" s="5">
        <f>F36/F27</f>
        <v>0.11759628792674069</v>
      </c>
      <c r="G37" s="5">
        <f t="shared" ref="G37:H37" si="7">G36/G27</f>
        <v>9.3054618542289108E-2</v>
      </c>
      <c r="H37" s="5">
        <f t="shared" si="7"/>
        <v>8.5064247105482008E-2</v>
      </c>
      <c r="I37" s="5">
        <f>AVERAGE(F37:H37)</f>
        <v>9.8571717858170593E-2</v>
      </c>
      <c r="J37" s="5">
        <f>J36/J27</f>
        <v>8.0357861302276345E-2</v>
      </c>
      <c r="K37" s="4"/>
      <c r="L37" s="5">
        <f>0.1</f>
        <v>0.1</v>
      </c>
      <c r="M37" s="5">
        <v>0.1</v>
      </c>
      <c r="N37" s="5">
        <f t="shared" ref="N37" si="8">0.1</f>
        <v>0.1</v>
      </c>
      <c r="O37" s="5">
        <v>0.1</v>
      </c>
      <c r="P37" s="5">
        <f t="shared" ref="P37" si="9">0.1</f>
        <v>0.1</v>
      </c>
      <c r="T37" s="5">
        <f>0.1</f>
        <v>0.1</v>
      </c>
      <c r="U37" s="5">
        <v>0.1</v>
      </c>
      <c r="V37" s="5">
        <f t="shared" ref="V37" si="10">0.1</f>
        <v>0.1</v>
      </c>
      <c r="W37" s="5">
        <v>0.1</v>
      </c>
      <c r="X37" s="5">
        <f t="shared" ref="X37" si="11">0.1</f>
        <v>0.1</v>
      </c>
      <c r="Y37" s="5">
        <f>0.1</f>
        <v>0.1</v>
      </c>
    </row>
    <row r="40" spans="4:25" outlineLevel="1">
      <c r="D40" t="s">
        <v>74</v>
      </c>
      <c r="F40" s="4">
        <f>F36+F49</f>
        <v>4925.87</v>
      </c>
      <c r="G40" s="4">
        <f>G36+G49</f>
        <v>4178.7700000000004</v>
      </c>
      <c r="H40" s="4">
        <f>H36+H49</f>
        <v>4440.1100000000006</v>
      </c>
      <c r="J40" s="4">
        <f>J36+J49</f>
        <v>4825.4387895352047</v>
      </c>
      <c r="K40" s="4"/>
      <c r="L40" s="4">
        <f>L36+L49</f>
        <v>6822.1612800000012</v>
      </c>
      <c r="M40" s="4">
        <f>M36+M49</f>
        <v>7845.4854720000021</v>
      </c>
      <c r="N40" s="4">
        <f>N36+N49</f>
        <v>9100.7631475200014</v>
      </c>
      <c r="O40" s="4">
        <f>O36+O49</f>
        <v>10647.8928825984</v>
      </c>
      <c r="P40" s="4">
        <f>P36+P49</f>
        <v>12245.076814988162</v>
      </c>
      <c r="T40">
        <f>T36+T49</f>
        <v>13367.54218969541</v>
      </c>
      <c r="U40">
        <f t="shared" ref="U40:Y40" si="12">U36+U49</f>
        <v>14459.394872365188</v>
      </c>
      <c r="V40">
        <f t="shared" si="12"/>
        <v>15616.146462154404</v>
      </c>
      <c r="W40">
        <f t="shared" si="12"/>
        <v>16709.276714505217</v>
      </c>
      <c r="X40">
        <f t="shared" si="12"/>
        <v>17711.833317375527</v>
      </c>
      <c r="Y40">
        <f t="shared" si="12"/>
        <v>18597.424983244306</v>
      </c>
    </row>
    <row r="41" spans="4:25" outlineLevel="1">
      <c r="F41" s="4"/>
      <c r="G41" s="4"/>
      <c r="H41" s="4"/>
      <c r="J41" s="4"/>
      <c r="K41" s="4"/>
      <c r="L41" s="4"/>
      <c r="M41" s="4"/>
      <c r="N41" s="4"/>
      <c r="O41" s="4"/>
      <c r="P41" s="4"/>
    </row>
    <row r="42" spans="4:25" outlineLevel="1">
      <c r="D42" t="s">
        <v>70</v>
      </c>
      <c r="F42" s="4">
        <f>5610.49</f>
        <v>5610.49</v>
      </c>
      <c r="G42" s="4">
        <v>4719.26</v>
      </c>
      <c r="H42" s="4">
        <v>5992.4</v>
      </c>
      <c r="J42" s="4">
        <f>3880+H42-3160</f>
        <v>6712.4</v>
      </c>
      <c r="K42" s="4"/>
      <c r="L42" s="4"/>
      <c r="M42" s="4"/>
      <c r="N42" s="4"/>
      <c r="O42" s="4"/>
      <c r="P42" s="4"/>
    </row>
    <row r="43" spans="4:25" outlineLevel="1">
      <c r="F43" s="4"/>
      <c r="G43" s="4"/>
      <c r="H43" s="4"/>
      <c r="J43" s="4"/>
      <c r="K43" s="4"/>
      <c r="L43" s="4"/>
      <c r="M43" s="4"/>
      <c r="N43" s="4"/>
      <c r="O43" s="4"/>
      <c r="P43" s="4"/>
    </row>
    <row r="44" spans="4:25" outlineLevel="1">
      <c r="D44" s="13" t="s">
        <v>172</v>
      </c>
      <c r="F44" s="5">
        <f>F35/F42</f>
        <v>0.10302843423658183</v>
      </c>
      <c r="G44" s="5">
        <f>G35/G42</f>
        <v>0.1029780092641643</v>
      </c>
      <c r="H44" s="5">
        <f>H35/H42</f>
        <v>0.11659602162739471</v>
      </c>
      <c r="I44" s="5"/>
      <c r="J44" s="5">
        <f>J35/J42</f>
        <v>0.11995858411298493</v>
      </c>
      <c r="K44" s="4"/>
      <c r="L44" s="5">
        <v>0.12</v>
      </c>
      <c r="M44" s="5">
        <v>0.12</v>
      </c>
      <c r="N44" s="5">
        <v>0.12</v>
      </c>
      <c r="O44" s="5">
        <v>0.12</v>
      </c>
      <c r="P44" s="5">
        <v>0.12</v>
      </c>
    </row>
    <row r="45" spans="4:25" outlineLevel="1">
      <c r="F45" s="4"/>
      <c r="G45" s="4"/>
      <c r="H45" s="4"/>
      <c r="J45" s="4"/>
      <c r="K45" s="4"/>
      <c r="L45" s="4"/>
      <c r="M45" s="4"/>
      <c r="N45" s="4"/>
      <c r="O45" s="4"/>
    </row>
    <row r="46" spans="4:25" outlineLevel="1">
      <c r="D46" t="s">
        <v>63</v>
      </c>
      <c r="F46" s="4">
        <f>F36-F35</f>
        <v>4153.8500000000004</v>
      </c>
      <c r="G46" s="4">
        <f>G36-G35</f>
        <v>3491.9300000000003</v>
      </c>
      <c r="H46" s="4">
        <f>H36-H35</f>
        <v>3556.7000000000003</v>
      </c>
      <c r="I46" s="4"/>
      <c r="J46" s="4">
        <f>J36-J35</f>
        <v>3748.67</v>
      </c>
      <c r="K46" s="4"/>
      <c r="L46" s="4">
        <f>L27*L47</f>
        <v>5168.304000000001</v>
      </c>
      <c r="M46" s="4">
        <f t="shared" ref="M46:P46" si="13">M27*M47</f>
        <v>5943.5496000000012</v>
      </c>
      <c r="N46" s="4">
        <f t="shared" si="13"/>
        <v>6894.5175360000003</v>
      </c>
      <c r="O46" s="4">
        <f t="shared" si="13"/>
        <v>8066.585517120001</v>
      </c>
      <c r="P46" s="4">
        <f t="shared" si="13"/>
        <v>9276.5733446880004</v>
      </c>
      <c r="T46">
        <f>T27*T47</f>
        <v>10204.230679156801</v>
      </c>
      <c r="U46">
        <f t="shared" ref="U46:Y46" si="14">U27*U47</f>
        <v>11122.611440280914</v>
      </c>
      <c r="V46">
        <f t="shared" si="14"/>
        <v>12012.420355503387</v>
      </c>
      <c r="W46">
        <f t="shared" si="14"/>
        <v>12853.289780388626</v>
      </c>
      <c r="X46">
        <f t="shared" si="14"/>
        <v>13624.487167211944</v>
      </c>
      <c r="Y46">
        <f t="shared" si="14"/>
        <v>14305.71152557254</v>
      </c>
    </row>
    <row r="47" spans="4:25" outlineLevel="1">
      <c r="D47" t="s">
        <v>173</v>
      </c>
      <c r="F47" s="5">
        <f>F46/F27</f>
        <v>0.10323091631557196</v>
      </c>
      <c r="G47" s="5">
        <f t="shared" ref="G47:J47" si="15">G46/G27</f>
        <v>8.1686165379904432E-2</v>
      </c>
      <c r="H47" s="5">
        <f t="shared" si="15"/>
        <v>7.1097598029808751E-2</v>
      </c>
      <c r="I47" s="5">
        <f>AVERAGE(F47:H47)</f>
        <v>8.5338226575095044E-2</v>
      </c>
      <c r="J47" s="5">
        <f t="shared" si="15"/>
        <v>6.6149108875948479E-2</v>
      </c>
      <c r="K47" s="4"/>
      <c r="L47" s="5">
        <f>0.08</f>
        <v>0.08</v>
      </c>
      <c r="M47" s="5">
        <f t="shared" ref="M47:P47" si="16">0.08</f>
        <v>0.08</v>
      </c>
      <c r="N47" s="5">
        <f t="shared" si="16"/>
        <v>0.08</v>
      </c>
      <c r="O47" s="5">
        <f t="shared" si="16"/>
        <v>0.08</v>
      </c>
      <c r="P47" s="5">
        <f t="shared" si="16"/>
        <v>0.08</v>
      </c>
      <c r="T47" s="5">
        <f>0.08</f>
        <v>0.08</v>
      </c>
      <c r="U47" s="5">
        <f t="shared" ref="U47:X47" si="17">0.08</f>
        <v>0.08</v>
      </c>
      <c r="V47" s="5">
        <f t="shared" si="17"/>
        <v>0.08</v>
      </c>
      <c r="W47" s="5">
        <f t="shared" si="17"/>
        <v>0.08</v>
      </c>
      <c r="X47" s="5">
        <f t="shared" si="17"/>
        <v>0.08</v>
      </c>
      <c r="Y47" s="5">
        <f>0.08</f>
        <v>0.08</v>
      </c>
    </row>
    <row r="48" spans="4:25" outlineLevel="1">
      <c r="F48" s="4"/>
      <c r="G48" s="4"/>
      <c r="H48" s="4"/>
      <c r="I48" s="4"/>
      <c r="J48" s="4"/>
      <c r="K48" s="4"/>
      <c r="L48" s="4"/>
      <c r="M48" s="4"/>
      <c r="N48" s="4"/>
      <c r="O48" s="4"/>
      <c r="P48" s="4"/>
    </row>
    <row r="49" spans="4:25" outlineLevel="1">
      <c r="D49" s="22" t="s">
        <v>171</v>
      </c>
      <c r="F49" s="4">
        <f>'income statement'!D26</f>
        <v>193.98</v>
      </c>
      <c r="G49" s="4">
        <f>'income statement'!E26</f>
        <v>200.86</v>
      </c>
      <c r="H49" s="4">
        <f>'income statement'!F26</f>
        <v>184.72</v>
      </c>
      <c r="J49" s="4">
        <f>J52*I50</f>
        <v>271.55878953520499</v>
      </c>
      <c r="K49" s="4"/>
      <c r="L49" s="4">
        <f>L52*L50</f>
        <v>361.78128000000009</v>
      </c>
      <c r="M49" s="4">
        <f>M52*M50</f>
        <v>416.04847200000012</v>
      </c>
      <c r="N49" s="4">
        <f>N52*N50</f>
        <v>482.61622752000011</v>
      </c>
      <c r="O49" s="4">
        <f>O52*O50</f>
        <v>564.66098619840011</v>
      </c>
      <c r="P49" s="4">
        <f>P52*P50</f>
        <v>649.3601341281601</v>
      </c>
      <c r="T49">
        <f>T52*T50</f>
        <v>612.25384074940803</v>
      </c>
      <c r="U49">
        <f t="shared" ref="U49:Y49" si="18">U52*U50</f>
        <v>556.1305720140457</v>
      </c>
      <c r="V49">
        <f t="shared" si="18"/>
        <v>600.62101777516943</v>
      </c>
      <c r="W49">
        <f t="shared" si="18"/>
        <v>642.66448901943136</v>
      </c>
      <c r="X49">
        <f t="shared" si="18"/>
        <v>681.22435836059731</v>
      </c>
      <c r="Y49">
        <f t="shared" si="18"/>
        <v>715.2855762786271</v>
      </c>
    </row>
    <row r="50" spans="4:25" outlineLevel="1">
      <c r="D50" s="13" t="s">
        <v>174</v>
      </c>
      <c r="F50" s="5">
        <f>F49/F52</f>
        <v>0.10247010100156362</v>
      </c>
      <c r="G50" s="5">
        <f>G49/G52</f>
        <v>6.9537822399169127E-2</v>
      </c>
      <c r="H50" s="5">
        <f>H49/H52</f>
        <v>5.612883621999392E-2</v>
      </c>
      <c r="I50" s="5">
        <f>AVERAGE(F50:H50)</f>
        <v>7.6045586540242224E-2</v>
      </c>
      <c r="J50" s="5">
        <v>0.08</v>
      </c>
      <c r="K50" s="4"/>
      <c r="L50" s="5">
        <f>0.08</f>
        <v>0.08</v>
      </c>
      <c r="M50" s="5">
        <f t="shared" ref="M50:P50" si="19">0.08</f>
        <v>0.08</v>
      </c>
      <c r="N50" s="5">
        <f t="shared" si="19"/>
        <v>0.08</v>
      </c>
      <c r="O50" s="5">
        <f t="shared" si="19"/>
        <v>0.08</v>
      </c>
      <c r="P50" s="5">
        <f t="shared" si="19"/>
        <v>0.08</v>
      </c>
      <c r="T50" s="5">
        <f>0.08</f>
        <v>0.08</v>
      </c>
      <c r="U50" s="5">
        <f t="shared" ref="U50:Y50" si="20">0.08</f>
        <v>0.08</v>
      </c>
      <c r="V50" s="5">
        <f t="shared" si="20"/>
        <v>0.08</v>
      </c>
      <c r="W50" s="5">
        <f t="shared" si="20"/>
        <v>0.08</v>
      </c>
      <c r="X50" s="5">
        <f t="shared" si="20"/>
        <v>0.08</v>
      </c>
      <c r="Y50" s="5">
        <f t="shared" si="20"/>
        <v>0.08</v>
      </c>
    </row>
    <row r="51" spans="4:25" outlineLevel="1">
      <c r="F51" s="4"/>
      <c r="G51" s="4"/>
      <c r="H51" s="4"/>
      <c r="J51" s="4"/>
      <c r="K51" s="4"/>
      <c r="L51" s="4"/>
      <c r="M51" s="4"/>
      <c r="N51" s="4"/>
      <c r="O51" s="4"/>
    </row>
    <row r="52" spans="4:25" outlineLevel="1">
      <c r="D52" t="s">
        <v>59</v>
      </c>
      <c r="F52" s="4">
        <f>1893.04</f>
        <v>1893.04</v>
      </c>
      <c r="G52" s="4">
        <f>2888.5</f>
        <v>2888.5</v>
      </c>
      <c r="H52" s="4">
        <f>3291</f>
        <v>3291</v>
      </c>
      <c r="J52" s="4">
        <f>1480+H52-1200</f>
        <v>3571</v>
      </c>
      <c r="K52" s="4"/>
      <c r="L52" s="4">
        <f>L53*L27</f>
        <v>4522.2660000000014</v>
      </c>
      <c r="M52" s="4">
        <f t="shared" ref="M52:P52" si="21">M53*M27</f>
        <v>5200.6059000000014</v>
      </c>
      <c r="N52" s="4">
        <f t="shared" si="21"/>
        <v>6032.7028440000013</v>
      </c>
      <c r="O52" s="4">
        <f t="shared" si="21"/>
        <v>7058.2623274800007</v>
      </c>
      <c r="P52" s="4">
        <f t="shared" si="21"/>
        <v>8117.0016766020008</v>
      </c>
      <c r="T52">
        <f>T27*T53</f>
        <v>7653.1730093676006</v>
      </c>
      <c r="U52">
        <f t="shared" ref="U52:Y52" si="22">U27*U53</f>
        <v>6951.632150175571</v>
      </c>
      <c r="V52">
        <f t="shared" si="22"/>
        <v>7507.7627221896173</v>
      </c>
      <c r="W52">
        <f t="shared" si="22"/>
        <v>8033.3061127428919</v>
      </c>
      <c r="X52">
        <f t="shared" si="22"/>
        <v>8515.3044795074657</v>
      </c>
      <c r="Y52">
        <f t="shared" si="22"/>
        <v>8941.069703482839</v>
      </c>
    </row>
    <row r="53" spans="4:25" outlineLevel="1">
      <c r="D53" s="13" t="s">
        <v>173</v>
      </c>
      <c r="F53" s="5">
        <f>F52/F27</f>
        <v>4.7045573100143318E-2</v>
      </c>
      <c r="G53" s="5">
        <f t="shared" ref="G53:H53" si="23">G52/G27</f>
        <v>6.7570222971209015E-2</v>
      </c>
      <c r="H53" s="5">
        <f t="shared" si="23"/>
        <v>6.578631740548839E-2</v>
      </c>
      <c r="I53" s="5">
        <f>AVERAGE(F53:H53)</f>
        <v>6.0134037825613572E-2</v>
      </c>
      <c r="J53" s="5">
        <f>J52/J27</f>
        <v>6.3013940356449624E-2</v>
      </c>
      <c r="K53" s="4"/>
      <c r="L53" s="5">
        <f>0.07</f>
        <v>7.0000000000000007E-2</v>
      </c>
      <c r="M53" s="5">
        <v>7.0000000000000007E-2</v>
      </c>
      <c r="N53" s="5">
        <f t="shared" ref="N53" si="24">0.07</f>
        <v>7.0000000000000007E-2</v>
      </c>
      <c r="O53" s="5">
        <v>7.0000000000000007E-2</v>
      </c>
      <c r="P53" s="5">
        <f t="shared" ref="P53" si="25">0.07</f>
        <v>7.0000000000000007E-2</v>
      </c>
      <c r="T53" s="5">
        <f>0.06</f>
        <v>0.06</v>
      </c>
      <c r="U53" s="5">
        <f t="shared" ref="U53:Y53" si="26">0.05</f>
        <v>0.05</v>
      </c>
      <c r="V53" s="5">
        <f t="shared" si="26"/>
        <v>0.05</v>
      </c>
      <c r="W53" s="5">
        <f t="shared" si="26"/>
        <v>0.05</v>
      </c>
      <c r="X53" s="5">
        <f t="shared" si="26"/>
        <v>0.05</v>
      </c>
      <c r="Y53" s="5">
        <f t="shared" si="26"/>
        <v>0.05</v>
      </c>
    </row>
    <row r="54" spans="4:25" outlineLevel="1">
      <c r="D54" s="13"/>
      <c r="F54" s="5"/>
      <c r="G54" s="5"/>
      <c r="H54" s="5"/>
      <c r="I54" s="5"/>
      <c r="J54" s="5"/>
      <c r="K54" s="4"/>
      <c r="L54" s="4"/>
      <c r="M54" s="4"/>
      <c r="N54" s="4"/>
      <c r="O54" s="4"/>
      <c r="P54" s="4"/>
    </row>
    <row r="55" spans="4:25" outlineLevel="1">
      <c r="D55" s="13" t="s">
        <v>193</v>
      </c>
      <c r="F55" s="5"/>
      <c r="G55" s="5"/>
      <c r="H55" s="5"/>
      <c r="I55" s="5"/>
      <c r="J55" s="5"/>
      <c r="K55" s="4"/>
      <c r="L55" s="5">
        <f>(L52-L49+(-1)*L58)/L46</f>
        <v>0.91953805180587989</v>
      </c>
      <c r="M55" s="5">
        <f t="shared" ref="M55:P55" si="27">(M52-M49+(-1)*M58)/M46</f>
        <v>0.92833234067897596</v>
      </c>
      <c r="N55" s="5">
        <f t="shared" si="27"/>
        <v>0.93542040623523859</v>
      </c>
      <c r="O55" s="5">
        <f t="shared" si="27"/>
        <v>0.94238730827771888</v>
      </c>
      <c r="P55" s="5">
        <f t="shared" si="27"/>
        <v>0.92833234067897552</v>
      </c>
    </row>
    <row r="56" spans="4:25" outlineLevel="1">
      <c r="D56" s="13" t="s">
        <v>194</v>
      </c>
      <c r="F56" s="5"/>
      <c r="G56" s="5"/>
      <c r="H56" s="5"/>
      <c r="I56" s="5"/>
      <c r="J56" s="5"/>
      <c r="K56" s="4"/>
      <c r="L56" s="5">
        <f>L46/(L52-L49+'working capital projection'!J24)</f>
        <v>0.57124970654980833</v>
      </c>
      <c r="M56" s="5">
        <f>M46/(M52-M49+'working capital projection'!K24)</f>
        <v>0.57124970654980822</v>
      </c>
      <c r="N56" s="5">
        <f>N46/(N52-N49+'working capital projection'!L24)</f>
        <v>0.57124970654980811</v>
      </c>
      <c r="O56" s="5">
        <f>O46/(O52-O49+'working capital projection'!M24)</f>
        <v>0.57124970654980833</v>
      </c>
      <c r="P56" s="5">
        <f>P46/(P52-P49+'working capital projection'!N24)</f>
        <v>0.57124970654980833</v>
      </c>
    </row>
    <row r="57" spans="4:25" outlineLevel="1">
      <c r="K57" s="4"/>
      <c r="L57" s="4"/>
      <c r="M57" s="4"/>
      <c r="N57" s="4"/>
      <c r="O57" s="4"/>
    </row>
    <row r="58" spans="4:25" outlineLevel="1">
      <c r="D58" t="s">
        <v>58</v>
      </c>
      <c r="F58" s="4">
        <f>-1*'working capital projection'!D26</f>
        <v>-1800</v>
      </c>
      <c r="G58" s="4">
        <f>-1*'working capital projection'!E26</f>
        <v>2889.7199999999993</v>
      </c>
      <c r="H58" s="4">
        <f>-1*'working capital projection'!F26</f>
        <v>-847.78000000000065</v>
      </c>
      <c r="J58" s="4">
        <f>-1*'working capital projection'!H26</f>
        <v>-1198.0817560967243</v>
      </c>
      <c r="K58" s="4"/>
      <c r="L58" s="4">
        <f>-1*'working capital projection'!J26</f>
        <v>-591.96747130053609</v>
      </c>
      <c r="M58" s="4">
        <f>-1*'working capital projection'!K26</f>
        <v>-733.03188410959137</v>
      </c>
      <c r="N58" s="4">
        <f>-1*'working capital projection'!L26</f>
        <v>-899.18577784109584</v>
      </c>
      <c r="O58" s="4">
        <f>-1*'working capital projection'!M26</f>
        <v>-1108.246471189148</v>
      </c>
      <c r="P58" s="4">
        <f>-1*'working capital projection'!N26</f>
        <v>-1144.1015040805632</v>
      </c>
      <c r="T58" s="4">
        <f>-1*'working capital projection'!P26</f>
        <v>-877.14448646177516</v>
      </c>
      <c r="U58" s="4">
        <f>-1*'working capital projection'!Q26</f>
        <v>-868.37304159714586</v>
      </c>
      <c r="V58" s="4">
        <f>-1*'working capital projection'!R26</f>
        <v>-841.35699141412624</v>
      </c>
      <c r="W58" s="4">
        <f>-1*'working capital projection'!S26</f>
        <v>-795.08235688634704</v>
      </c>
      <c r="X58" s="4">
        <f>-1*'working capital projection'!T26</f>
        <v>-729.20410445862035</v>
      </c>
      <c r="Y58" s="4">
        <f>-1*'working capital projection'!U26</f>
        <v>-644.13029227178413</v>
      </c>
    </row>
    <row r="59" spans="4:25" outlineLevel="1">
      <c r="K59" s="4"/>
      <c r="L59" s="4"/>
      <c r="M59" s="4"/>
      <c r="N59" s="4"/>
      <c r="O59" s="4"/>
    </row>
    <row r="60" spans="4:25" outlineLevel="1">
      <c r="D60" s="10" t="s">
        <v>60</v>
      </c>
      <c r="F60" s="4">
        <f>F46+F49-F52+F58</f>
        <v>654.79</v>
      </c>
      <c r="G60" s="4">
        <f t="shared" ref="G60:H60" si="28">G46+G49-G52+G58</f>
        <v>3694.0099999999998</v>
      </c>
      <c r="H60" s="4">
        <f t="shared" si="28"/>
        <v>-397.36000000000058</v>
      </c>
      <c r="J60" s="4">
        <f>J46+J49-J52+J58</f>
        <v>-748.85296656151922</v>
      </c>
      <c r="K60" s="4"/>
      <c r="L60" s="4">
        <f>L46+L49-L52+L58</f>
        <v>415.85180869946362</v>
      </c>
      <c r="M60" s="4">
        <f t="shared" ref="M60:P60" si="29">M46+M49-M52+M58</f>
        <v>425.96028789040884</v>
      </c>
      <c r="N60" s="4">
        <f t="shared" si="29"/>
        <v>445.24514167890356</v>
      </c>
      <c r="O60" s="4">
        <f t="shared" si="29"/>
        <v>464.73770464925292</v>
      </c>
      <c r="P60" s="4">
        <f t="shared" si="29"/>
        <v>664.83029813359735</v>
      </c>
      <c r="T60" s="15">
        <f>T46+T49-T52+T58</f>
        <v>2286.1670240768335</v>
      </c>
      <c r="U60" s="15">
        <f t="shared" ref="U60:Y60" si="30">U46+U49-U52+U58</f>
        <v>3858.7368205222438</v>
      </c>
      <c r="V60" s="15">
        <f t="shared" si="30"/>
        <v>4263.9216596748129</v>
      </c>
      <c r="W60" s="15">
        <f t="shared" si="30"/>
        <v>4667.5657997788185</v>
      </c>
      <c r="X60" s="15">
        <f t="shared" si="30"/>
        <v>5061.2029416064561</v>
      </c>
      <c r="Y60" s="15">
        <f t="shared" si="30"/>
        <v>5435.7971060965447</v>
      </c>
    </row>
    <row r="61" spans="4:25" outlineLevel="1">
      <c r="D61" t="s">
        <v>205</v>
      </c>
      <c r="J61" s="9">
        <f>1/(1+J85)</f>
        <v>0.92445271924656647</v>
      </c>
      <c r="K61" s="9"/>
      <c r="L61" s="9">
        <f>1/(1+$J$85)^2</f>
        <v>0.85461283012237088</v>
      </c>
      <c r="M61" s="9">
        <f>1/(1+$J$85)^3</f>
        <v>0.79004915470962978</v>
      </c>
      <c r="N61" s="9">
        <f>1/(1+$J$85)^4</f>
        <v>0.73036308940976846</v>
      </c>
      <c r="O61" s="9">
        <f>1/(1+$J$85)^5</f>
        <v>0.67518614404218358</v>
      </c>
      <c r="P61" s="9">
        <f>1/(1+$J$85)^6</f>
        <v>0.6241776668574005</v>
      </c>
      <c r="Q61" s="9"/>
      <c r="R61" s="9"/>
      <c r="S61" s="9"/>
      <c r="T61" s="9">
        <f>1/(1+$J$85)^7</f>
        <v>0.57702274141930132</v>
      </c>
      <c r="U61" s="9">
        <f>1/(1+$J$85)^8</f>
        <v>0.53343024237218151</v>
      </c>
      <c r="V61" s="9">
        <f>1/(1+$J$85)^9</f>
        <v>0.49313103808931813</v>
      </c>
      <c r="W61" s="9">
        <f>1/(1+$J$85)^10</f>
        <v>0.45587632910655229</v>
      </c>
      <c r="X61" s="9">
        <f>1/(1+$J$85)^11</f>
        <v>0.42143611208269488</v>
      </c>
      <c r="Y61" s="9">
        <f>1/(1+$J$85)^12</f>
        <v>0.38959775980354805</v>
      </c>
    </row>
    <row r="62" spans="4:25" outlineLevel="1">
      <c r="D62" t="s">
        <v>206</v>
      </c>
      <c r="J62" s="4">
        <f>J60*J61</f>
        <v>-692.27916125365459</v>
      </c>
      <c r="K62" s="4"/>
      <c r="L62" s="4">
        <f>L60*L61</f>
        <v>355.39229114415537</v>
      </c>
      <c r="M62" s="4">
        <f t="shared" ref="M62:P62" si="31">M60*M61</f>
        <v>336.52956538768802</v>
      </c>
      <c r="N62" s="4">
        <f t="shared" si="31"/>
        <v>325.19061722129408</v>
      </c>
      <c r="O62" s="4">
        <f t="shared" si="31"/>
        <v>313.78445879314427</v>
      </c>
      <c r="P62" s="4">
        <f>P60*P61</f>
        <v>414.97222434513878</v>
      </c>
      <c r="T62">
        <f>T60*T61</f>
        <v>1319.1703635752203</v>
      </c>
      <c r="U62">
        <f t="shared" ref="U62:Y62" si="32">U60*U61</f>
        <v>2058.3669174216416</v>
      </c>
      <c r="V62">
        <f t="shared" si="32"/>
        <v>2102.6721143669688</v>
      </c>
      <c r="W62">
        <f t="shared" si="32"/>
        <v>2127.8327626664568</v>
      </c>
      <c r="X62">
        <f t="shared" si="32"/>
        <v>2132.9736901721235</v>
      </c>
      <c r="Y62">
        <f t="shared" si="32"/>
        <v>2117.7743752818233</v>
      </c>
    </row>
    <row r="63" spans="4:25">
      <c r="K63" s="4"/>
      <c r="L63" s="4"/>
      <c r="M63" s="4"/>
      <c r="N63" s="4"/>
      <c r="O63" s="4"/>
    </row>
    <row r="64" spans="4:25">
      <c r="F64" s="4"/>
      <c r="G64" s="4"/>
      <c r="H64" s="4"/>
      <c r="J64" s="4"/>
      <c r="K64" s="4"/>
      <c r="L64" s="4"/>
      <c r="M64" s="4"/>
      <c r="N64" s="4"/>
      <c r="O64" s="4"/>
    </row>
    <row r="65" spans="4:19">
      <c r="F65" s="4"/>
      <c r="G65" s="4"/>
      <c r="H65" s="4"/>
      <c r="J65" s="4"/>
      <c r="K65" s="4"/>
      <c r="L65" s="4"/>
      <c r="M65" s="4"/>
      <c r="N65" s="4"/>
      <c r="O65" s="4"/>
    </row>
    <row r="66" spans="4:19">
      <c r="D66" t="s">
        <v>66</v>
      </c>
      <c r="F66" s="4">
        <f>F36/F34</f>
        <v>6.4248336727766464</v>
      </c>
      <c r="G66" s="4">
        <f>G36/G34</f>
        <v>5.6612965203159478</v>
      </c>
      <c r="H66" s="4">
        <f>H36/H34</f>
        <v>6.8069903223226431</v>
      </c>
      <c r="J66" s="4">
        <f>J36/J34</f>
        <v>8.0298349555649597</v>
      </c>
      <c r="K66" s="4"/>
      <c r="L66" s="4"/>
      <c r="M66" s="4"/>
      <c r="N66" s="4"/>
      <c r="O66" s="4"/>
    </row>
    <row r="67" spans="4:19">
      <c r="F67" s="4"/>
      <c r="G67" s="4"/>
      <c r="H67" s="4"/>
    </row>
    <row r="68" spans="4:19">
      <c r="D68" t="s">
        <v>80</v>
      </c>
      <c r="F68" s="8">
        <f>(2.7+0.77)%</f>
        <v>3.4700000000000002E-2</v>
      </c>
      <c r="G68" s="11">
        <f>(2.88+0.77)%</f>
        <v>3.6499999999999998E-2</v>
      </c>
      <c r="H68" s="11">
        <f>(2.3+0.6)%</f>
        <v>2.8999999999999998E-2</v>
      </c>
      <c r="J68" s="11">
        <f>C16</f>
        <v>2.2800000000000001E-2</v>
      </c>
      <c r="K68" s="11"/>
    </row>
    <row r="69" spans="4:19">
      <c r="D69" t="s">
        <v>55</v>
      </c>
      <c r="J69" s="27">
        <f>J44</f>
        <v>0.11995858411298493</v>
      </c>
      <c r="L69" s="20" t="s">
        <v>219</v>
      </c>
      <c r="M69" s="20"/>
      <c r="P69" s="20" t="s">
        <v>208</v>
      </c>
      <c r="Q69" s="20"/>
      <c r="R69" s="20"/>
      <c r="S69" s="20"/>
    </row>
    <row r="70" spans="4:19">
      <c r="J70" s="27"/>
      <c r="P70" t="s">
        <v>209</v>
      </c>
      <c r="S70" s="4">
        <f>SUM(J62:Y63)</f>
        <v>12912.380219122002</v>
      </c>
    </row>
    <row r="71" spans="4:19">
      <c r="J71" s="27"/>
      <c r="L71" t="s">
        <v>192</v>
      </c>
      <c r="M71" s="27">
        <v>0.03</v>
      </c>
      <c r="P71" t="s">
        <v>207</v>
      </c>
      <c r="S71" s="4">
        <f>M77</f>
        <v>42174.435007739914</v>
      </c>
    </row>
    <row r="72" spans="4:19">
      <c r="D72" t="s">
        <v>76</v>
      </c>
      <c r="F72">
        <f>9950</f>
        <v>9950</v>
      </c>
      <c r="G72">
        <f>13595.16</f>
        <v>13595.16</v>
      </c>
      <c r="H72">
        <f>15716.43</f>
        <v>15716.43</v>
      </c>
      <c r="J72">
        <f>(14.94+15.72-15.14)*1000</f>
        <v>15520</v>
      </c>
      <c r="L72" t="s">
        <v>195</v>
      </c>
      <c r="M72" s="4">
        <f>Y60</f>
        <v>5435.7971060965447</v>
      </c>
      <c r="P72" t="s">
        <v>211</v>
      </c>
      <c r="S72" s="4">
        <f>S71/S74</f>
        <v>0.76559944215425335</v>
      </c>
    </row>
    <row r="73" spans="4:19">
      <c r="D73" t="s">
        <v>75</v>
      </c>
      <c r="J73" s="26">
        <f>C21</f>
        <v>17060.596974902612</v>
      </c>
      <c r="L73" t="s">
        <v>188</v>
      </c>
      <c r="M73" s="11">
        <f>J85</f>
        <v>8.1721086628426948E-2</v>
      </c>
      <c r="S73" s="4"/>
    </row>
    <row r="74" spans="4:19">
      <c r="D74" t="s">
        <v>78</v>
      </c>
      <c r="F74">
        <f>53540.15-25805.58</f>
        <v>27734.57</v>
      </c>
      <c r="G74">
        <f>52066.71-25447.79</f>
        <v>26618.92</v>
      </c>
      <c r="H74">
        <f>54939.67-23682.59</f>
        <v>31257.079999999998</v>
      </c>
      <c r="L74" s="10" t="s">
        <v>196</v>
      </c>
      <c r="M74" s="9">
        <f>M72*(1+M71)/(M73-M71)</f>
        <v>108251.22564617948</v>
      </c>
      <c r="P74" t="s">
        <v>210</v>
      </c>
      <c r="S74" s="4">
        <f>S70+S71</f>
        <v>55086.815226861916</v>
      </c>
    </row>
    <row r="75" spans="4:19">
      <c r="D75" t="s">
        <v>62</v>
      </c>
      <c r="F75">
        <f>F79*F80</f>
        <v>17395.899999999998</v>
      </c>
      <c r="G75">
        <f t="shared" ref="G75:H75" si="33">G79*G80</f>
        <v>30430.91</v>
      </c>
      <c r="H75">
        <f t="shared" si="33"/>
        <v>35911.81</v>
      </c>
      <c r="J75">
        <f>J79*J80</f>
        <v>40511</v>
      </c>
      <c r="L75" t="s">
        <v>197</v>
      </c>
      <c r="M75" s="4">
        <f>Y40</f>
        <v>18597.424983244306</v>
      </c>
      <c r="S75" s="4"/>
    </row>
    <row r="76" spans="4:19">
      <c r="D76" t="s">
        <v>189</v>
      </c>
      <c r="J76">
        <f>J73/(J75+J73)</f>
        <v>0.29633704589330567</v>
      </c>
      <c r="L76" s="10" t="s">
        <v>204</v>
      </c>
      <c r="M76" s="31">
        <f>M74/M75</f>
        <v>5.820764204921403</v>
      </c>
      <c r="P76" t="s">
        <v>212</v>
      </c>
      <c r="S76" s="4">
        <f>J72</f>
        <v>15520</v>
      </c>
    </row>
    <row r="77" spans="4:19">
      <c r="L77" s="10" t="s">
        <v>207</v>
      </c>
      <c r="M77" s="9">
        <f>M74*Y61</f>
        <v>42174.435007739914</v>
      </c>
      <c r="P77" t="s">
        <v>213</v>
      </c>
      <c r="S77" s="4">
        <v>0</v>
      </c>
    </row>
    <row r="78" spans="4:19">
      <c r="P78" t="s">
        <v>214</v>
      </c>
      <c r="S78" s="4">
        <f>'balance sheet '!G58</f>
        <v>6190</v>
      </c>
    </row>
    <row r="79" spans="4:19">
      <c r="D79" t="s">
        <v>77</v>
      </c>
      <c r="F79">
        <f>7.3</f>
        <v>7.3</v>
      </c>
      <c r="G79">
        <f>12.77</f>
        <v>12.77</v>
      </c>
      <c r="H79">
        <f>15.07</f>
        <v>15.07</v>
      </c>
      <c r="J79">
        <f>B10</f>
        <v>17</v>
      </c>
      <c r="P79" t="s">
        <v>215</v>
      </c>
      <c r="S79" s="4">
        <f>'balance sheet '!G10</f>
        <v>1470</v>
      </c>
    </row>
    <row r="80" spans="4:19">
      <c r="D80" t="s">
        <v>64</v>
      </c>
      <c r="F80">
        <f>2383</f>
        <v>2383</v>
      </c>
      <c r="G80">
        <v>2383</v>
      </c>
      <c r="H80">
        <v>2383</v>
      </c>
      <c r="J80">
        <v>2383</v>
      </c>
      <c r="P80" t="s">
        <v>216</v>
      </c>
      <c r="S80" s="4">
        <f>S74-S76-S78+S79</f>
        <v>34846.815226861916</v>
      </c>
    </row>
    <row r="81" spans="4:19">
      <c r="P81" t="s">
        <v>217</v>
      </c>
      <c r="S81" s="4">
        <f>2383</f>
        <v>2383</v>
      </c>
    </row>
    <row r="82" spans="4:19">
      <c r="P82" s="10" t="s">
        <v>218</v>
      </c>
      <c r="S82" s="4">
        <f>S80/S81</f>
        <v>14.623086540856868</v>
      </c>
    </row>
    <row r="84" spans="4:19">
      <c r="D84" t="s">
        <v>61</v>
      </c>
      <c r="J84" s="8">
        <f>C14+C18*C17</f>
        <v>0.10768664155414578</v>
      </c>
    </row>
    <row r="85" spans="4:19">
      <c r="D85" t="s">
        <v>188</v>
      </c>
      <c r="J85" s="8">
        <f>J68*(1-J69)*J76+J84*(1-J76)</f>
        <v>8.1721086628426948E-2</v>
      </c>
    </row>
    <row r="87" spans="4:19">
      <c r="D87" s="45" t="s">
        <v>190</v>
      </c>
      <c r="E87" s="45"/>
      <c r="F87" s="45"/>
      <c r="G87" s="45"/>
      <c r="H87" s="45"/>
      <c r="I87" s="45"/>
      <c r="J87" s="45"/>
      <c r="K87" s="45"/>
    </row>
    <row r="90" spans="4:19">
      <c r="E90" s="47"/>
      <c r="G90" s="46" t="s">
        <v>191</v>
      </c>
      <c r="H90" s="46"/>
      <c r="I90" s="46"/>
      <c r="J90" s="46"/>
      <c r="K90" s="46"/>
    </row>
    <row r="91" spans="4:19">
      <c r="E91" s="47"/>
      <c r="F91" s="11">
        <f>J85</f>
        <v>8.1721086628426948E-2</v>
      </c>
      <c r="G91" s="11">
        <f>H91-0.5%</f>
        <v>1.2799999999999999E-2</v>
      </c>
      <c r="H91" s="11">
        <f>I91-0.5%</f>
        <v>1.78E-2</v>
      </c>
      <c r="I91" s="8">
        <f>J68</f>
        <v>2.2800000000000001E-2</v>
      </c>
      <c r="J91" s="11">
        <f>I91+0.5%</f>
        <v>2.7800000000000002E-2</v>
      </c>
      <c r="K91" s="11">
        <f>J91+0.5%</f>
        <v>3.2800000000000003E-2</v>
      </c>
    </row>
    <row r="92" spans="4:19">
      <c r="E92" s="48" t="s">
        <v>189</v>
      </c>
      <c r="F92" s="27">
        <f>F93-0.1</f>
        <v>9.6337045893305662E-2</v>
      </c>
      <c r="G92" s="11">
        <f t="dataTable" ref="G92:K96" dt2D="1" dtr="1" r1="J68" r2="J76" ca="1"/>
        <v>9.8397620180108128E-2</v>
      </c>
      <c r="H92" s="11">
        <v>9.7973717228756543E-2</v>
      </c>
      <c r="I92" s="8">
        <v>9.7973717228756543E-2</v>
      </c>
      <c r="J92" s="11">
        <v>9.8397620180108128E-2</v>
      </c>
      <c r="K92" s="11">
        <v>9.9245426082811311E-2</v>
      </c>
    </row>
    <row r="93" spans="4:19">
      <c r="E93" s="48"/>
      <c r="F93" s="27">
        <f>F94-0.1</f>
        <v>0.19633704589330567</v>
      </c>
      <c r="G93" s="11">
        <v>0.10803983132318735</v>
      </c>
      <c r="H93" s="28">
        <v>0.10805594907977928</v>
      </c>
      <c r="I93" s="29">
        <v>0.10805594907977928</v>
      </c>
      <c r="J93" s="28">
        <v>0.10803983132318735</v>
      </c>
      <c r="K93" s="11">
        <v>0.10800759581000351</v>
      </c>
    </row>
    <row r="94" spans="4:19">
      <c r="E94" s="48"/>
      <c r="F94" s="27">
        <f>J76</f>
        <v>0.29633704589330567</v>
      </c>
      <c r="G94" s="11">
        <v>0.10803983132318735</v>
      </c>
      <c r="H94" s="28">
        <v>0.10805594907977928</v>
      </c>
      <c r="I94" s="30">
        <v>0.10805594907977928</v>
      </c>
      <c r="J94" s="28">
        <v>0.10803983132318735</v>
      </c>
      <c r="K94" s="11">
        <v>0.10800759581000351</v>
      </c>
    </row>
    <row r="95" spans="4:19">
      <c r="E95" s="48"/>
      <c r="F95" s="27">
        <f>F94+0.1</f>
        <v>0.39633704589330565</v>
      </c>
      <c r="G95" s="11">
        <v>9.8397620180108128E-2</v>
      </c>
      <c r="H95" s="28">
        <v>9.7973717228756543E-2</v>
      </c>
      <c r="I95" s="29">
        <v>9.7973717228756543E-2</v>
      </c>
      <c r="J95" s="28">
        <v>9.8397620180108128E-2</v>
      </c>
      <c r="K95" s="11">
        <v>9.9245426082811311E-2</v>
      </c>
    </row>
    <row r="96" spans="4:19">
      <c r="E96" s="47"/>
      <c r="F96" s="27">
        <f>F95+0.1</f>
        <v>0.49633704589330563</v>
      </c>
      <c r="G96" s="11">
        <v>7.9113197893949744E-2</v>
      </c>
      <c r="H96" s="11">
        <v>7.7809253526711142E-2</v>
      </c>
      <c r="I96" s="8">
        <v>7.7809253526711142E-2</v>
      </c>
      <c r="J96" s="11">
        <v>7.9113197893949744E-2</v>
      </c>
      <c r="K96" s="11">
        <v>8.1721086628426948E-2</v>
      </c>
    </row>
  </sheetData>
  <mergeCells count="10">
    <mergeCell ref="D87:K87"/>
    <mergeCell ref="E92:E95"/>
    <mergeCell ref="G90:K90"/>
    <mergeCell ref="P69:S69"/>
    <mergeCell ref="L69:M69"/>
    <mergeCell ref="A1:F4"/>
    <mergeCell ref="J3:Q10"/>
    <mergeCell ref="F23:J23"/>
    <mergeCell ref="L23:Q23"/>
    <mergeCell ref="T23:Y2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9A1B-CEA0-4515-98B0-DE79F7636B4B}">
  <dimension ref="A1:U36"/>
  <sheetViews>
    <sheetView workbookViewId="0">
      <selection activeCell="P33" sqref="P33"/>
    </sheetView>
  </sheetViews>
  <sheetFormatPr defaultRowHeight="14.5"/>
  <cols>
    <col min="2" max="2" width="17" customWidth="1"/>
    <col min="7" max="7" width="11.26953125" customWidth="1"/>
  </cols>
  <sheetData>
    <row r="1" spans="1:21">
      <c r="A1" s="19" t="s">
        <v>160</v>
      </c>
      <c r="B1" s="19"/>
      <c r="C1" s="19"/>
      <c r="D1" s="19"/>
      <c r="E1" s="19"/>
      <c r="F1" s="19"/>
      <c r="G1" s="19"/>
      <c r="H1" s="19"/>
      <c r="I1" s="19"/>
      <c r="J1" s="19"/>
      <c r="K1" s="19"/>
    </row>
    <row r="2" spans="1:21">
      <c r="A2" s="19"/>
      <c r="B2" s="19"/>
      <c r="C2" s="19"/>
      <c r="D2" s="19"/>
      <c r="E2" s="19"/>
      <c r="F2" s="19"/>
      <c r="G2" s="19"/>
      <c r="H2" s="19"/>
      <c r="I2" s="19"/>
      <c r="J2" s="19"/>
      <c r="K2" s="19"/>
    </row>
    <row r="3" spans="1:21">
      <c r="A3" s="19"/>
      <c r="B3" s="19"/>
      <c r="C3" s="19"/>
      <c r="D3" s="19"/>
      <c r="E3" s="19"/>
      <c r="F3" s="19"/>
      <c r="G3" s="19"/>
      <c r="H3" s="19"/>
      <c r="I3" s="19"/>
      <c r="J3" s="19"/>
      <c r="K3" s="19"/>
    </row>
    <row r="5" spans="1:21">
      <c r="D5" s="18" t="s">
        <v>141</v>
      </c>
      <c r="E5" s="18"/>
      <c r="F5" s="18"/>
      <c r="G5" s="18"/>
      <c r="H5" s="18"/>
      <c r="I5" s="18"/>
      <c r="J5" s="18" t="s">
        <v>180</v>
      </c>
      <c r="K5" s="18"/>
      <c r="L5" s="18"/>
      <c r="M5" s="18"/>
      <c r="N5" s="18"/>
      <c r="O5" s="18"/>
      <c r="P5" s="18"/>
    </row>
    <row r="7" spans="1:21">
      <c r="D7" t="s">
        <v>101</v>
      </c>
      <c r="E7" t="s">
        <v>102</v>
      </c>
      <c r="F7" t="s">
        <v>103</v>
      </c>
      <c r="G7" t="s">
        <v>166</v>
      </c>
      <c r="H7" t="s">
        <v>72</v>
      </c>
      <c r="J7" t="s">
        <v>96</v>
      </c>
      <c r="K7" t="s">
        <v>97</v>
      </c>
      <c r="L7" t="s">
        <v>176</v>
      </c>
      <c r="M7" t="s">
        <v>177</v>
      </c>
      <c r="N7" t="s">
        <v>178</v>
      </c>
      <c r="P7" t="s">
        <v>198</v>
      </c>
      <c r="Q7" t="s">
        <v>199</v>
      </c>
      <c r="R7" t="s">
        <v>200</v>
      </c>
      <c r="S7" t="s">
        <v>201</v>
      </c>
      <c r="T7" t="s">
        <v>202</v>
      </c>
      <c r="U7" t="s">
        <v>203</v>
      </c>
    </row>
    <row r="8" spans="1:21">
      <c r="B8" t="s">
        <v>147</v>
      </c>
      <c r="D8">
        <f>'income statement'!D11</f>
        <v>40238.43</v>
      </c>
      <c r="E8">
        <f>'income statement'!E11</f>
        <v>42748.12</v>
      </c>
      <c r="F8">
        <f>'income statement'!F11</f>
        <v>50025.599999999999</v>
      </c>
      <c r="H8">
        <f>DCF!J27</f>
        <v>56670</v>
      </c>
      <c r="J8">
        <f>DCF!L27</f>
        <v>64603.80000000001</v>
      </c>
      <c r="K8">
        <f>DCF!M27</f>
        <v>74294.37000000001</v>
      </c>
      <c r="L8">
        <f>DCF!N27</f>
        <v>86181.469200000007</v>
      </c>
      <c r="M8">
        <f>DCF!O27</f>
        <v>100832.31896400001</v>
      </c>
      <c r="N8">
        <f>DCF!P27</f>
        <v>115957.1668086</v>
      </c>
      <c r="P8">
        <f>DCF!T27</f>
        <v>127552.88348946001</v>
      </c>
      <c r="Q8">
        <f>DCF!U27</f>
        <v>139032.64300351142</v>
      </c>
      <c r="R8">
        <f>DCF!V27</f>
        <v>150155.25444379234</v>
      </c>
      <c r="S8">
        <f>DCF!W27</f>
        <v>160666.12225485782</v>
      </c>
      <c r="T8">
        <f>DCF!X27</f>
        <v>170306.08959014929</v>
      </c>
      <c r="U8">
        <f>DCF!Y27</f>
        <v>178821.39406965676</v>
      </c>
    </row>
    <row r="9" spans="1:21">
      <c r="B9" t="s">
        <v>162</v>
      </c>
      <c r="D9">
        <f>'income statement'!D14</f>
        <v>33045.050000000003</v>
      </c>
      <c r="E9">
        <f>'income statement'!E14</f>
        <v>35606.019999999997</v>
      </c>
      <c r="F9">
        <f>'income statement'!F14</f>
        <v>40877.25</v>
      </c>
      <c r="H9" s="9">
        <f>'income statement'!H14</f>
        <v>46682.549355378906</v>
      </c>
      <c r="J9">
        <f>J8*J10</f>
        <v>52975.116000000002</v>
      </c>
      <c r="K9">
        <f t="shared" ref="K9:N9" si="0">K8*K10</f>
        <v>60921.383400000006</v>
      </c>
      <c r="L9">
        <f t="shared" si="0"/>
        <v>70668.804744000008</v>
      </c>
      <c r="M9">
        <f t="shared" si="0"/>
        <v>82682.501550479996</v>
      </c>
      <c r="N9">
        <f t="shared" si="0"/>
        <v>95084.876783051994</v>
      </c>
    </row>
    <row r="10" spans="1:21">
      <c r="B10" t="s">
        <v>181</v>
      </c>
      <c r="D10">
        <f>D9/D8</f>
        <v>0.82123109674010653</v>
      </c>
      <c r="E10">
        <f t="shared" ref="E10:F10" si="1">E9/E8</f>
        <v>0.83292598598488066</v>
      </c>
      <c r="F10">
        <f t="shared" si="1"/>
        <v>0.81712663116484363</v>
      </c>
      <c r="H10" s="9">
        <f>H9/H8</f>
        <v>0.82376123796327694</v>
      </c>
      <c r="J10">
        <f>0.82</f>
        <v>0.82</v>
      </c>
      <c r="K10">
        <f t="shared" ref="K10:N10" si="2">0.82</f>
        <v>0.82</v>
      </c>
      <c r="L10">
        <f t="shared" si="2"/>
        <v>0.82</v>
      </c>
      <c r="M10">
        <f t="shared" si="2"/>
        <v>0.82</v>
      </c>
      <c r="N10">
        <f t="shared" si="2"/>
        <v>0.82</v>
      </c>
    </row>
    <row r="11" spans="1:21">
      <c r="B11" t="s">
        <v>148</v>
      </c>
    </row>
    <row r="12" spans="1:21">
      <c r="B12" s="10" t="s">
        <v>108</v>
      </c>
    </row>
    <row r="13" spans="1:21">
      <c r="B13" t="s">
        <v>142</v>
      </c>
      <c r="D13">
        <f>'balance sheet '!D11</f>
        <v>5222.21</v>
      </c>
      <c r="E13">
        <f>'balance sheet '!E11</f>
        <v>2695.81</v>
      </c>
      <c r="F13">
        <f>'balance sheet '!F11</f>
        <v>3535.25</v>
      </c>
      <c r="H13">
        <f>H8/365*J31</f>
        <v>4657.8082191780823</v>
      </c>
      <c r="J13">
        <f>J8/365*J31</f>
        <v>5309.9013698630151</v>
      </c>
      <c r="K13">
        <f>K8/365*K31</f>
        <v>6106.386575342467</v>
      </c>
      <c r="L13">
        <f>L8/365*L31</f>
        <v>7083.4084273972612</v>
      </c>
      <c r="M13">
        <f>M8/365*M31</f>
        <v>8287.5878600547949</v>
      </c>
      <c r="N13">
        <f>N8/365*N31</f>
        <v>9530.7260390630145</v>
      </c>
    </row>
    <row r="14" spans="1:21">
      <c r="B14" t="s">
        <v>143</v>
      </c>
      <c r="D14" s="22">
        <f>'balance sheet '!D12</f>
        <v>3523.7</v>
      </c>
      <c r="E14" s="22">
        <f>'balance sheet '!E12</f>
        <v>3162.14</v>
      </c>
      <c r="F14" s="22">
        <f>'balance sheet '!F12</f>
        <v>5112.8999999999996</v>
      </c>
      <c r="H14">
        <f>H9/365*J32</f>
        <v>4987.9984242733626</v>
      </c>
      <c r="J14">
        <f>J9/365*J32</f>
        <v>5660.3548602739729</v>
      </c>
      <c r="K14">
        <f t="shared" ref="K14:N14" si="3">K9/365*K32</f>
        <v>6509.4080893150685</v>
      </c>
      <c r="L14">
        <f t="shared" si="3"/>
        <v>7550.9133836054807</v>
      </c>
      <c r="M14">
        <f t="shared" si="3"/>
        <v>8834.5686588184108</v>
      </c>
      <c r="N14">
        <f t="shared" si="3"/>
        <v>10159.753957641173</v>
      </c>
    </row>
    <row r="15" spans="1:21">
      <c r="B15" t="s">
        <v>144</v>
      </c>
      <c r="D15">
        <f>'balance sheet '!D13+'balance sheet '!D14</f>
        <v>1648.24</v>
      </c>
      <c r="E15">
        <f>'balance sheet '!E13+'balance sheet '!E14</f>
        <v>896.36</v>
      </c>
      <c r="F15">
        <f>'balance sheet '!F13+'balance sheet '!F14</f>
        <v>1010.15</v>
      </c>
      <c r="H15">
        <f>H8*J33</f>
        <v>1530.09</v>
      </c>
      <c r="J15">
        <f>J8*J33</f>
        <v>1744.3026000000002</v>
      </c>
      <c r="K15">
        <f t="shared" ref="K15:N15" si="4">K8*K33</f>
        <v>2005.9479900000003</v>
      </c>
      <c r="L15">
        <f t="shared" si="4"/>
        <v>2326.8996684000003</v>
      </c>
      <c r="M15">
        <f t="shared" si="4"/>
        <v>2722.4726120280002</v>
      </c>
      <c r="N15">
        <f t="shared" si="4"/>
        <v>3130.8435038322</v>
      </c>
    </row>
    <row r="16" spans="1:21">
      <c r="B16" s="10" t="s">
        <v>149</v>
      </c>
      <c r="D16">
        <f>SUM(D13:D15)</f>
        <v>10394.15</v>
      </c>
      <c r="E16">
        <f t="shared" ref="E16:F16" si="5">SUM(E13:E15)</f>
        <v>6754.3099999999995</v>
      </c>
      <c r="F16">
        <f t="shared" si="5"/>
        <v>9658.2999999999993</v>
      </c>
      <c r="H16">
        <f>SUM(H13:H15)</f>
        <v>11175.896643451444</v>
      </c>
      <c r="J16">
        <f>SUM(J13:J15)</f>
        <v>12714.558830136988</v>
      </c>
      <c r="K16">
        <f t="shared" ref="K16:N16" si="6">SUM(K13:K15)</f>
        <v>14621.742654657537</v>
      </c>
      <c r="L16">
        <f t="shared" si="6"/>
        <v>16961.221479402742</v>
      </c>
      <c r="M16">
        <f t="shared" si="6"/>
        <v>19844.629130901205</v>
      </c>
      <c r="N16">
        <f t="shared" si="6"/>
        <v>22821.323500536386</v>
      </c>
    </row>
    <row r="18" spans="2:21">
      <c r="B18" s="10" t="s">
        <v>145</v>
      </c>
    </row>
    <row r="19" spans="2:21">
      <c r="B19" t="s">
        <v>113</v>
      </c>
      <c r="D19">
        <f>'balance sheet '!D31</f>
        <v>2525.0100000000002</v>
      </c>
      <c r="E19">
        <f>'balance sheet '!E31</f>
        <v>2248.9499999999998</v>
      </c>
      <c r="F19">
        <f>'balance sheet '!F31</f>
        <v>2801.68</v>
      </c>
      <c r="H19">
        <f>H9/365*J35</f>
        <v>3197.4348873547196</v>
      </c>
      <c r="J19">
        <f>J9/365*J35</f>
        <v>3628.4326027397265</v>
      </c>
      <c r="K19">
        <f t="shared" ref="K19:N19" si="7">K9/365*K35</f>
        <v>4172.6974931506857</v>
      </c>
      <c r="L19">
        <f t="shared" si="7"/>
        <v>4840.3290920547952</v>
      </c>
      <c r="M19">
        <f t="shared" si="7"/>
        <v>5663.1850377041092</v>
      </c>
      <c r="N19">
        <f t="shared" si="7"/>
        <v>6512.6627933597265</v>
      </c>
    </row>
    <row r="20" spans="2:21">
      <c r="B20" t="s">
        <v>146</v>
      </c>
      <c r="D20">
        <f>'balance sheet '!D32</f>
        <v>366.01</v>
      </c>
      <c r="E20">
        <f>'balance sheet '!E32</f>
        <v>358.89</v>
      </c>
      <c r="F20">
        <f>'balance sheet '!F32</f>
        <v>467.13</v>
      </c>
    </row>
    <row r="21" spans="2:21">
      <c r="B21" t="s">
        <v>159</v>
      </c>
      <c r="D21">
        <f>'balance sheet '!D35</f>
        <v>2364.36</v>
      </c>
      <c r="E21">
        <f>'balance sheet '!E35</f>
        <v>1897.42</v>
      </c>
      <c r="F21">
        <f>'balance sheet '!F35</f>
        <v>3292.66</v>
      </c>
      <c r="H21">
        <f>H8*J36</f>
        <v>3683.55</v>
      </c>
      <c r="J21">
        <f>J8*J36</f>
        <v>4199.2470000000012</v>
      </c>
      <c r="K21">
        <f t="shared" ref="K21:N21" si="8">K8*K36</f>
        <v>4829.1340500000006</v>
      </c>
      <c r="L21">
        <f t="shared" si="8"/>
        <v>5601.7954980000004</v>
      </c>
      <c r="M21">
        <f t="shared" si="8"/>
        <v>6554.1007326600002</v>
      </c>
      <c r="N21">
        <f t="shared" si="8"/>
        <v>7537.2158425590005</v>
      </c>
    </row>
    <row r="22" spans="2:21">
      <c r="B22" s="10" t="s">
        <v>150</v>
      </c>
      <c r="D22">
        <f>SUM(D19:D21)</f>
        <v>5255.380000000001</v>
      </c>
      <c r="E22">
        <f t="shared" ref="E22:F22" si="9">SUM(E19:E21)</f>
        <v>4505.26</v>
      </c>
      <c r="F22">
        <f t="shared" si="9"/>
        <v>6561.4699999999993</v>
      </c>
      <c r="H22">
        <f>SUM(H19+H21)</f>
        <v>6880.9848873547198</v>
      </c>
      <c r="J22">
        <f>J19+J21</f>
        <v>7827.6796027397277</v>
      </c>
      <c r="K22">
        <f t="shared" ref="K22:N22" si="10">K19+K21</f>
        <v>9001.8315431506853</v>
      </c>
      <c r="L22">
        <f t="shared" si="10"/>
        <v>10442.124590054795</v>
      </c>
      <c r="M22">
        <f t="shared" si="10"/>
        <v>12217.285770364109</v>
      </c>
      <c r="N22">
        <f t="shared" si="10"/>
        <v>14049.878635918727</v>
      </c>
    </row>
    <row r="24" spans="2:21">
      <c r="B24" s="10" t="s">
        <v>161</v>
      </c>
      <c r="D24">
        <f>D16-D22</f>
        <v>5138.7699999999986</v>
      </c>
      <c r="E24">
        <f t="shared" ref="E24:F24" si="11">E16-E22</f>
        <v>2249.0499999999993</v>
      </c>
      <c r="F24">
        <f t="shared" si="11"/>
        <v>3096.83</v>
      </c>
      <c r="H24">
        <f>H16-H22</f>
        <v>4294.9117560967243</v>
      </c>
      <c r="J24">
        <f>J16-J22</f>
        <v>4886.8792273972604</v>
      </c>
      <c r="K24">
        <f>K16-K22</f>
        <v>5619.9111115068517</v>
      </c>
      <c r="L24">
        <f t="shared" ref="K24:N24" si="12">L16-L22</f>
        <v>6519.0968893479476</v>
      </c>
      <c r="M24">
        <f t="shared" si="12"/>
        <v>7627.3433605370956</v>
      </c>
      <c r="N24">
        <f t="shared" si="12"/>
        <v>8771.4448646176588</v>
      </c>
      <c r="P24">
        <f>P8*P25</f>
        <v>9648.589351079434</v>
      </c>
      <c r="Q24">
        <f t="shared" ref="Q24:U24" si="13">Q8*Q25</f>
        <v>10516.96239267658</v>
      </c>
      <c r="R24">
        <f t="shared" si="13"/>
        <v>11358.319384090706</v>
      </c>
      <c r="S24">
        <f t="shared" si="13"/>
        <v>12153.401740977053</v>
      </c>
      <c r="T24">
        <f t="shared" si="13"/>
        <v>12882.605845435673</v>
      </c>
      <c r="U24">
        <f t="shared" si="13"/>
        <v>13526.736137707458</v>
      </c>
    </row>
    <row r="25" spans="2:21">
      <c r="B25" s="22" t="s">
        <v>173</v>
      </c>
      <c r="D25">
        <f>D24/D8</f>
        <v>0.12770801445285013</v>
      </c>
      <c r="E25">
        <f t="shared" ref="E25:F25" si="14">E24/E8</f>
        <v>5.2611670407961782E-2</v>
      </c>
      <c r="F25">
        <f t="shared" si="14"/>
        <v>6.1904904688799334E-2</v>
      </c>
      <c r="H25">
        <f>H24/H8</f>
        <v>7.5788102278043487E-2</v>
      </c>
      <c r="J25">
        <f>J24/J8</f>
        <v>7.5643835616438351E-2</v>
      </c>
      <c r="K25">
        <f t="shared" ref="K25:N25" si="15">K24/K8</f>
        <v>7.5643835616438379E-2</v>
      </c>
      <c r="L25">
        <f t="shared" si="15"/>
        <v>7.5643835616438379E-2</v>
      </c>
      <c r="M25">
        <f t="shared" si="15"/>
        <v>7.5643835616438351E-2</v>
      </c>
      <c r="N25">
        <f t="shared" si="15"/>
        <v>7.5643835616438337E-2</v>
      </c>
      <c r="P25">
        <v>7.5643835616438407E-2</v>
      </c>
      <c r="Q25">
        <v>7.5643835616438379E-2</v>
      </c>
      <c r="R25">
        <v>7.5643835616438379E-2</v>
      </c>
      <c r="S25">
        <v>7.5643835616438351E-2</v>
      </c>
      <c r="T25">
        <v>7.5643835616438337E-2</v>
      </c>
      <c r="U25">
        <v>7.5643835616438337E-2</v>
      </c>
    </row>
    <row r="26" spans="2:21">
      <c r="B26" t="s">
        <v>182</v>
      </c>
      <c r="D26">
        <v>1800</v>
      </c>
      <c r="E26">
        <f>E24-D24</f>
        <v>-2889.7199999999993</v>
      </c>
      <c r="F26">
        <f>F24-E24</f>
        <v>847.78000000000065</v>
      </c>
      <c r="H26">
        <f>H24-F24</f>
        <v>1198.0817560967243</v>
      </c>
      <c r="J26">
        <f>J24-H24</f>
        <v>591.96747130053609</v>
      </c>
      <c r="K26">
        <f>K24-J24</f>
        <v>733.03188410959137</v>
      </c>
      <c r="L26">
        <f>L24-K24</f>
        <v>899.18577784109584</v>
      </c>
      <c r="M26">
        <f t="shared" ref="L26:N26" si="16">M24-L24</f>
        <v>1108.246471189148</v>
      </c>
      <c r="N26">
        <f t="shared" si="16"/>
        <v>1144.1015040805632</v>
      </c>
      <c r="P26">
        <f>P24-N24</f>
        <v>877.14448646177516</v>
      </c>
      <c r="Q26">
        <f>Q24-P24</f>
        <v>868.37304159714586</v>
      </c>
      <c r="R26">
        <f>R24-Q24</f>
        <v>841.35699141412624</v>
      </c>
      <c r="S26">
        <f>S24-R24</f>
        <v>795.08235688634704</v>
      </c>
      <c r="T26">
        <f>T24-S24</f>
        <v>729.20410445862035</v>
      </c>
      <c r="U26">
        <f>U24-T24</f>
        <v>644.13029227178413</v>
      </c>
    </row>
    <row r="30" spans="2:21">
      <c r="B30" t="s">
        <v>151</v>
      </c>
    </row>
    <row r="31" spans="2:21">
      <c r="B31" t="s">
        <v>152</v>
      </c>
      <c r="D31">
        <f>D13/D8*365</f>
        <v>47.370303712147816</v>
      </c>
      <c r="E31">
        <f t="shared" ref="E31:F31" si="17">E13/E8*365</f>
        <v>23.017869557772364</v>
      </c>
      <c r="F31">
        <f t="shared" si="17"/>
        <v>25.794118411373375</v>
      </c>
      <c r="G31" s="23">
        <f>AVERAGE(D31:F31)</f>
        <v>32.060763893764516</v>
      </c>
      <c r="J31">
        <v>30</v>
      </c>
      <c r="K31">
        <v>30</v>
      </c>
      <c r="L31">
        <v>30</v>
      </c>
      <c r="M31">
        <v>30</v>
      </c>
      <c r="N31">
        <v>30</v>
      </c>
    </row>
    <row r="32" spans="2:21">
      <c r="B32" t="s">
        <v>153</v>
      </c>
      <c r="D32">
        <f>D14/D9*365</f>
        <v>38.92112434388811</v>
      </c>
      <c r="E32">
        <f t="shared" ref="E32:F32" si="18">E14/E9*365</f>
        <v>32.415335946000148</v>
      </c>
      <c r="F32">
        <f t="shared" si="18"/>
        <v>45.653964001981542</v>
      </c>
      <c r="G32" s="23">
        <f t="shared" ref="G32:G36" si="19">AVERAGE(D32:F32)</f>
        <v>38.996808097289936</v>
      </c>
      <c r="J32">
        <v>39</v>
      </c>
      <c r="K32">
        <v>39</v>
      </c>
      <c r="L32">
        <v>39</v>
      </c>
      <c r="M32">
        <v>39</v>
      </c>
      <c r="N32">
        <v>39</v>
      </c>
    </row>
    <row r="33" spans="2:14">
      <c r="B33" t="s">
        <v>163</v>
      </c>
      <c r="D33">
        <f>D15/D8</f>
        <v>4.0961836731701513E-2</v>
      </c>
      <c r="E33">
        <f t="shared" ref="E33:F33" si="20">E15/E8</f>
        <v>2.0968407499557876E-2</v>
      </c>
      <c r="F33">
        <f t="shared" si="20"/>
        <v>2.0192661357385018E-2</v>
      </c>
      <c r="G33" s="24">
        <f t="shared" si="19"/>
        <v>2.7374301862881468E-2</v>
      </c>
      <c r="J33" s="11">
        <v>2.7E-2</v>
      </c>
      <c r="K33" s="11">
        <v>2.7E-2</v>
      </c>
      <c r="L33" s="11">
        <v>2.7E-2</v>
      </c>
      <c r="M33" s="11">
        <v>2.7E-2</v>
      </c>
      <c r="N33" s="11">
        <v>2.7E-2</v>
      </c>
    </row>
    <row r="35" spans="2:14">
      <c r="B35" t="s">
        <v>164</v>
      </c>
      <c r="D35">
        <f>D19/D9*365</f>
        <v>27.890066742220093</v>
      </c>
      <c r="E35">
        <f t="shared" ref="E35:F35" si="21">E19/E9*365</f>
        <v>23.054156291548452</v>
      </c>
      <c r="F35">
        <f t="shared" si="21"/>
        <v>25.016682873725603</v>
      </c>
      <c r="G35" s="23">
        <f t="shared" si="19"/>
        <v>25.320301969164717</v>
      </c>
      <c r="J35">
        <v>25</v>
      </c>
      <c r="K35">
        <v>25</v>
      </c>
      <c r="L35">
        <v>25</v>
      </c>
      <c r="M35">
        <v>25</v>
      </c>
      <c r="N35">
        <v>25</v>
      </c>
    </row>
    <row r="36" spans="2:14">
      <c r="B36" t="s">
        <v>165</v>
      </c>
      <c r="D36">
        <f>(D20+D21)/D8</f>
        <v>6.7854784592738832E-2</v>
      </c>
      <c r="E36">
        <f t="shared" ref="E36:F36" si="22">(E20+E21)/E8</f>
        <v>5.2781502438001948E-2</v>
      </c>
      <c r="F36">
        <f t="shared" si="22"/>
        <v>7.5157319452440349E-2</v>
      </c>
      <c r="G36" s="24">
        <f t="shared" si="19"/>
        <v>6.5264535494393705E-2</v>
      </c>
      <c r="J36">
        <f>6.5%</f>
        <v>6.5000000000000002E-2</v>
      </c>
      <c r="K36">
        <f t="shared" ref="K36:N36" si="23">6.5%</f>
        <v>6.5000000000000002E-2</v>
      </c>
      <c r="L36">
        <f t="shared" si="23"/>
        <v>6.5000000000000002E-2</v>
      </c>
      <c r="M36">
        <f t="shared" si="23"/>
        <v>6.5000000000000002E-2</v>
      </c>
      <c r="N36">
        <f t="shared" si="23"/>
        <v>6.5000000000000002E-2</v>
      </c>
    </row>
  </sheetData>
  <mergeCells count="3">
    <mergeCell ref="D5:I5"/>
    <mergeCell ref="A1:K3"/>
    <mergeCell ref="J5:P5"/>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7A99F-6A94-491D-828E-3AA3A421D4DA}">
  <dimension ref="A1:O58"/>
  <sheetViews>
    <sheetView tabSelected="1" zoomScaleNormal="100" workbookViewId="0">
      <selection activeCell="G47" sqref="G47"/>
    </sheetView>
  </sheetViews>
  <sheetFormatPr defaultRowHeight="14.5"/>
  <cols>
    <col min="2" max="2" width="9.54296875" customWidth="1"/>
    <col min="3" max="3" width="27.90625" customWidth="1"/>
    <col min="4" max="4" width="14.26953125" bestFit="1" customWidth="1"/>
    <col min="5" max="5" width="15.26953125" customWidth="1"/>
    <col min="6" max="6" width="12.08984375" bestFit="1" customWidth="1"/>
    <col min="7" max="7" width="12.08984375" customWidth="1"/>
    <col min="8" max="8" width="12.36328125" bestFit="1" customWidth="1"/>
    <col min="9" max="10" width="9.453125" bestFit="1" customWidth="1"/>
    <col min="11" max="11" width="17.7265625" customWidth="1"/>
    <col min="12" max="12" width="9.453125" bestFit="1" customWidth="1"/>
  </cols>
  <sheetData>
    <row r="1" spans="1:13">
      <c r="A1" s="18" t="s">
        <v>3</v>
      </c>
      <c r="B1" s="18"/>
      <c r="C1" s="18"/>
      <c r="D1" s="18"/>
      <c r="E1" s="18"/>
      <c r="F1" s="18"/>
      <c r="G1" s="18"/>
      <c r="H1" s="18"/>
      <c r="I1" s="18"/>
      <c r="J1" s="18"/>
      <c r="K1" s="18"/>
      <c r="L1" s="18"/>
      <c r="M1" s="18"/>
    </row>
    <row r="3" spans="1:13">
      <c r="A3" t="s">
        <v>1</v>
      </c>
      <c r="B3" s="1" t="s">
        <v>4</v>
      </c>
    </row>
    <row r="4" spans="1:13">
      <c r="A4" t="s">
        <v>2</v>
      </c>
      <c r="B4" t="s">
        <v>5</v>
      </c>
    </row>
    <row r="5" spans="1:13">
      <c r="A5" t="s">
        <v>8</v>
      </c>
      <c r="B5" t="s">
        <v>82</v>
      </c>
    </row>
    <row r="6" spans="1:13">
      <c r="C6" s="21" t="s">
        <v>99</v>
      </c>
      <c r="D6" s="21"/>
      <c r="E6" s="21"/>
      <c r="F6" s="21"/>
      <c r="G6" s="21"/>
      <c r="H6" s="21"/>
      <c r="I6" s="21"/>
      <c r="J6" s="21"/>
      <c r="K6" s="21"/>
    </row>
    <row r="9" spans="1:13">
      <c r="D9" s="20" t="s">
        <v>100</v>
      </c>
      <c r="E9" s="20"/>
      <c r="F9" s="20"/>
      <c r="G9" s="12"/>
    </row>
    <row r="10" spans="1:13">
      <c r="D10" s="10" t="s">
        <v>101</v>
      </c>
      <c r="E10" s="10" t="s">
        <v>102</v>
      </c>
      <c r="F10" s="10" t="s">
        <v>103</v>
      </c>
      <c r="G10" s="10" t="s">
        <v>105</v>
      </c>
      <c r="H10" s="10" t="s">
        <v>104</v>
      </c>
      <c r="I10" s="10" t="s">
        <v>96</v>
      </c>
      <c r="J10" s="10" t="s">
        <v>97</v>
      </c>
    </row>
    <row r="11" spans="1:13">
      <c r="C11" s="2" t="s">
        <v>88</v>
      </c>
      <c r="D11" s="4">
        <v>40238.43</v>
      </c>
      <c r="E11" s="4">
        <v>42748.12</v>
      </c>
      <c r="F11" s="4">
        <v>50025.599999999999</v>
      </c>
      <c r="G11" s="4"/>
      <c r="H11" s="4">
        <f>(31.62+50.03-24.98)*1000</f>
        <v>56670</v>
      </c>
    </row>
    <row r="12" spans="1:13">
      <c r="C12" s="13" t="s">
        <v>19</v>
      </c>
      <c r="D12" s="14" t="s">
        <v>98</v>
      </c>
      <c r="E12" s="14">
        <f>E11/D11-1</f>
        <v>6.2370475190011154E-2</v>
      </c>
      <c r="F12" s="14">
        <f>F11/E11-1</f>
        <v>0.17024093691137754</v>
      </c>
      <c r="G12" s="14">
        <f>(F11/D11)^(1/2)-1</f>
        <v>0.11500198216565694</v>
      </c>
      <c r="H12" s="14">
        <f>H11/F11-1</f>
        <v>0.13281999616196516</v>
      </c>
      <c r="L12" s="4"/>
    </row>
    <row r="13" spans="1:13">
      <c r="C13" s="3"/>
      <c r="D13" s="4"/>
      <c r="E13" s="4"/>
      <c r="F13" s="4"/>
      <c r="G13" s="4"/>
      <c r="H13" s="4"/>
      <c r="L13" s="4"/>
    </row>
    <row r="14" spans="1:13">
      <c r="C14" s="2" t="s">
        <v>7</v>
      </c>
      <c r="D14" s="4">
        <v>33045.050000000003</v>
      </c>
      <c r="E14" s="4">
        <v>35606.019999999997</v>
      </c>
      <c r="F14" s="4">
        <v>40877.25</v>
      </c>
      <c r="G14" s="4"/>
      <c r="H14" s="9">
        <f>H11*G15</f>
        <v>46682.549355378906</v>
      </c>
      <c r="L14" s="4"/>
    </row>
    <row r="15" spans="1:13">
      <c r="C15" s="13" t="s">
        <v>106</v>
      </c>
      <c r="D15" s="14">
        <f>D14/D11</f>
        <v>0.82123109674010653</v>
      </c>
      <c r="E15" s="14">
        <f t="shared" ref="E15:F15" si="0">E14/E11</f>
        <v>0.83292598598488066</v>
      </c>
      <c r="F15" s="14">
        <f t="shared" si="0"/>
        <v>0.81712663116484363</v>
      </c>
      <c r="G15" s="14">
        <f>AVERAGE(D15:F15)</f>
        <v>0.82376123796327694</v>
      </c>
      <c r="L15" s="4"/>
    </row>
    <row r="16" spans="1:13">
      <c r="C16" s="2" t="s">
        <v>9</v>
      </c>
      <c r="D16" s="4">
        <f>D11-D14</f>
        <v>7193.3799999999974</v>
      </c>
      <c r="E16" s="4">
        <f>E11-E14</f>
        <v>7142.1000000000058</v>
      </c>
      <c r="F16" s="4">
        <f>F11-F14</f>
        <v>9148.3499999999985</v>
      </c>
      <c r="G16" s="4"/>
      <c r="H16" s="4"/>
      <c r="L16" s="4"/>
    </row>
    <row r="17" spans="3:12">
      <c r="C17" s="13" t="s">
        <v>107</v>
      </c>
      <c r="D17" s="14">
        <f>D16/D11</f>
        <v>0.17876890325989353</v>
      </c>
      <c r="E17" s="14">
        <f>E16/E11</f>
        <v>0.1670740140151194</v>
      </c>
      <c r="F17" s="14">
        <f t="shared" ref="F17" si="1">F16/F11</f>
        <v>0.18287336883515637</v>
      </c>
      <c r="G17" s="14">
        <f>AVERAGE(D17:F17)</f>
        <v>0.17623876203672309</v>
      </c>
      <c r="H17" s="6"/>
      <c r="L17" s="4"/>
    </row>
    <row r="18" spans="3:12">
      <c r="D18" s="4"/>
      <c r="E18" s="4"/>
      <c r="F18" s="4"/>
      <c r="G18" s="4"/>
      <c r="H18" s="4"/>
      <c r="L18" s="4"/>
    </row>
    <row r="19" spans="3:12">
      <c r="C19" s="2"/>
      <c r="D19" s="4"/>
      <c r="E19" s="4"/>
      <c r="F19" s="4"/>
      <c r="G19" s="4"/>
      <c r="H19" s="4"/>
      <c r="L19" s="4"/>
    </row>
    <row r="20" spans="3:12">
      <c r="C20" s="2"/>
      <c r="D20" s="4"/>
      <c r="E20" s="4"/>
      <c r="F20" s="4"/>
      <c r="G20" s="4"/>
      <c r="H20" s="4"/>
      <c r="L20" s="4"/>
    </row>
    <row r="21" spans="3:12">
      <c r="C21" s="3"/>
      <c r="D21" s="4"/>
      <c r="E21" s="4"/>
      <c r="F21" s="4"/>
      <c r="G21" s="4"/>
      <c r="H21" s="4"/>
      <c r="L21" s="4"/>
    </row>
    <row r="22" spans="3:12">
      <c r="C22" s="3" t="s">
        <v>10</v>
      </c>
      <c r="D22" s="4">
        <v>871.06</v>
      </c>
      <c r="E22" s="4">
        <v>988.57</v>
      </c>
      <c r="F22" s="4">
        <v>1194.52</v>
      </c>
      <c r="G22" s="4"/>
      <c r="H22" s="4"/>
      <c r="L22" s="4"/>
    </row>
    <row r="23" spans="3:12">
      <c r="C23" s="13" t="s">
        <v>94</v>
      </c>
      <c r="D23" s="14">
        <f>D22/D11</f>
        <v>2.1647464873753772E-2</v>
      </c>
      <c r="E23" s="14">
        <f>E22/E11</f>
        <v>2.3125461423800626E-2</v>
      </c>
      <c r="F23" s="14">
        <f t="shared" ref="F23" si="2">F22/F11</f>
        <v>2.3878174374720142E-2</v>
      </c>
      <c r="G23" s="14"/>
      <c r="H23" s="4"/>
      <c r="L23" s="4"/>
    </row>
    <row r="24" spans="3:12">
      <c r="C24" s="3" t="s">
        <v>11</v>
      </c>
      <c r="D24" s="4">
        <f>358.69</f>
        <v>358.69</v>
      </c>
      <c r="E24" s="4">
        <v>526.12</v>
      </c>
      <c r="F24" s="4">
        <v>577.76</v>
      </c>
      <c r="G24" s="4"/>
      <c r="H24" s="4"/>
      <c r="L24" s="4"/>
    </row>
    <row r="25" spans="3:12">
      <c r="C25" s="13" t="s">
        <v>94</v>
      </c>
      <c r="D25" s="14">
        <f>D24/D11</f>
        <v>8.9141151878937615E-3</v>
      </c>
      <c r="E25" s="14">
        <f t="shared" ref="E25:F25" si="3">E24/E11</f>
        <v>1.2307441824342217E-2</v>
      </c>
      <c r="F25" s="14">
        <f t="shared" si="3"/>
        <v>1.154928676517623E-2</v>
      </c>
      <c r="G25" s="14"/>
      <c r="H25" s="4"/>
      <c r="L25" s="4"/>
    </row>
    <row r="26" spans="3:12">
      <c r="C26" s="3" t="s">
        <v>83</v>
      </c>
      <c r="D26" s="4">
        <v>193.98</v>
      </c>
      <c r="E26" s="4">
        <v>200.86</v>
      </c>
      <c r="F26" s="4">
        <v>184.72</v>
      </c>
      <c r="G26" s="4"/>
      <c r="H26" s="4"/>
      <c r="L26" s="4"/>
    </row>
    <row r="27" spans="3:12">
      <c r="C27" s="13" t="s">
        <v>94</v>
      </c>
      <c r="D27" s="14">
        <f>D26/D11</f>
        <v>4.8207646272481301E-3</v>
      </c>
      <c r="E27" s="14">
        <f t="shared" ref="E27:F27" si="4">E26/E11</f>
        <v>4.6986861644441906E-3</v>
      </c>
      <c r="F27" s="14">
        <f t="shared" si="4"/>
        <v>3.6925094351691933E-3</v>
      </c>
      <c r="G27" s="14"/>
      <c r="H27" s="4"/>
      <c r="L27" s="4"/>
    </row>
    <row r="28" spans="3:12">
      <c r="C28" s="3" t="s">
        <v>84</v>
      </c>
      <c r="D28" s="4">
        <f>-60.97+190.9</f>
        <v>129.93</v>
      </c>
      <c r="E28" s="4">
        <f>66.69+429.11</f>
        <v>495.8</v>
      </c>
      <c r="F28" s="4">
        <f>562.94+86.79</f>
        <v>649.73</v>
      </c>
      <c r="G28" s="4"/>
      <c r="H28" s="4"/>
      <c r="L28" s="4"/>
    </row>
    <row r="29" spans="3:12">
      <c r="C29" s="10" t="s">
        <v>89</v>
      </c>
      <c r="D29" s="4">
        <f>D22+D24+D26+D28+D14</f>
        <v>34598.710000000006</v>
      </c>
      <c r="E29" s="4">
        <f t="shared" ref="E29:F29" si="5">E22+E24+E26+E28+E14</f>
        <v>37817.369999999995</v>
      </c>
      <c r="F29" s="4">
        <f t="shared" si="5"/>
        <v>43483.98</v>
      </c>
      <c r="G29" s="4"/>
      <c r="H29" s="4"/>
      <c r="L29" s="4"/>
    </row>
    <row r="30" spans="3:12">
      <c r="C30" s="3"/>
      <c r="D30" s="4"/>
      <c r="E30" s="4"/>
      <c r="F30" s="4"/>
      <c r="G30" s="4"/>
      <c r="H30" s="4"/>
      <c r="L30" s="4"/>
    </row>
    <row r="31" spans="3:12">
      <c r="C31" s="3" t="s">
        <v>95</v>
      </c>
      <c r="D31" s="4">
        <f>D11-D29</f>
        <v>5639.7199999999939</v>
      </c>
      <c r="E31" s="4">
        <f t="shared" ref="E31:F31" si="6">E11-E29</f>
        <v>4930.7500000000073</v>
      </c>
      <c r="F31" s="4">
        <f t="shared" si="6"/>
        <v>6541.6199999999953</v>
      </c>
      <c r="G31" s="4"/>
      <c r="H31" s="4"/>
      <c r="I31" s="4"/>
      <c r="J31" s="4"/>
      <c r="K31" s="4"/>
      <c r="L31" s="4"/>
    </row>
    <row r="32" spans="3:12">
      <c r="C32" s="3" t="s">
        <v>85</v>
      </c>
      <c r="D32" s="4">
        <v>4.0199999999999996</v>
      </c>
      <c r="E32" s="4">
        <v>8.7899999999999991</v>
      </c>
      <c r="F32" s="4">
        <v>-129.68</v>
      </c>
      <c r="G32" s="4"/>
      <c r="H32" s="4"/>
      <c r="I32" s="4"/>
      <c r="J32" s="4"/>
      <c r="K32" s="4"/>
      <c r="L32" s="4"/>
    </row>
    <row r="33" spans="3:12">
      <c r="D33" s="4"/>
      <c r="E33" s="4"/>
      <c r="F33" s="4"/>
      <c r="G33" s="4"/>
      <c r="H33" s="4"/>
      <c r="I33" s="4"/>
      <c r="J33" s="4"/>
      <c r="K33" s="4"/>
      <c r="L33" s="4"/>
    </row>
    <row r="34" spans="3:12">
      <c r="C34" s="3" t="s">
        <v>86</v>
      </c>
      <c r="D34" s="4">
        <f>D31+D32</f>
        <v>5643.7399999999943</v>
      </c>
      <c r="E34" s="4">
        <f t="shared" ref="E34:F34" si="7">E31+E32</f>
        <v>4939.5400000000072</v>
      </c>
      <c r="F34" s="4">
        <f t="shared" si="7"/>
        <v>6411.9399999999951</v>
      </c>
      <c r="G34" s="4"/>
      <c r="H34" s="4"/>
      <c r="I34" s="4"/>
      <c r="J34" s="4"/>
      <c r="K34" s="4"/>
      <c r="L34" s="4"/>
    </row>
    <row r="35" spans="3:12">
      <c r="C35" s="3" t="s">
        <v>87</v>
      </c>
      <c r="D35" s="4">
        <v>578.04</v>
      </c>
      <c r="E35" s="4">
        <f>485.98</f>
        <v>485.98</v>
      </c>
      <c r="F35" s="4">
        <f>698.69</f>
        <v>698.69</v>
      </c>
      <c r="G35" s="4"/>
      <c r="H35" s="4"/>
      <c r="I35" s="4"/>
      <c r="J35" s="4"/>
      <c r="K35" s="4"/>
      <c r="L35" s="4"/>
    </row>
    <row r="36" spans="3:12">
      <c r="C36" s="2" t="s">
        <v>90</v>
      </c>
      <c r="D36" s="4">
        <f>1615.1</f>
        <v>1615.1</v>
      </c>
      <c r="E36" s="4">
        <f>1444</f>
        <v>1444</v>
      </c>
      <c r="F36" s="4">
        <f>2362.16</f>
        <v>2362.16</v>
      </c>
      <c r="G36" s="4"/>
      <c r="H36" s="4"/>
      <c r="I36" s="4"/>
      <c r="J36" s="4"/>
      <c r="K36" s="4"/>
      <c r="L36" s="4"/>
    </row>
    <row r="37" spans="3:12">
      <c r="C37" s="3"/>
      <c r="D37" s="4"/>
      <c r="E37" s="4"/>
      <c r="F37" s="4"/>
      <c r="G37" s="4"/>
      <c r="H37" s="4"/>
      <c r="I37" s="4"/>
      <c r="J37" s="4"/>
      <c r="K37" s="4"/>
      <c r="L37" s="4"/>
    </row>
    <row r="38" spans="3:12">
      <c r="C38" s="3" t="s">
        <v>91</v>
      </c>
      <c r="D38" s="4">
        <f>D34-D35-D36</f>
        <v>3450.5999999999945</v>
      </c>
      <c r="E38" s="4">
        <f t="shared" ref="E38:F38" si="8">E34-E35-E36</f>
        <v>3009.5600000000068</v>
      </c>
      <c r="F38" s="4">
        <f t="shared" si="8"/>
        <v>3351.0899999999947</v>
      </c>
      <c r="G38" s="4"/>
      <c r="H38" s="4"/>
      <c r="I38" s="4"/>
      <c r="J38" s="4"/>
      <c r="K38" s="4"/>
      <c r="L38" s="4"/>
    </row>
    <row r="39" spans="3:12">
      <c r="C39" s="3" t="s">
        <v>92</v>
      </c>
      <c r="D39" s="4">
        <f>2383</f>
        <v>2383</v>
      </c>
      <c r="E39" s="4">
        <v>2383</v>
      </c>
      <c r="F39" s="4">
        <f>2383</f>
        <v>2383</v>
      </c>
      <c r="G39" s="4"/>
      <c r="H39" s="4"/>
      <c r="I39" s="4"/>
      <c r="J39" s="4"/>
      <c r="K39" s="4"/>
      <c r="L39" s="4"/>
    </row>
    <row r="40" spans="3:12">
      <c r="C40" s="3" t="s">
        <v>93</v>
      </c>
      <c r="D40" s="4">
        <f>D38/D39</f>
        <v>1.4480067142257635</v>
      </c>
      <c r="E40" s="4">
        <f t="shared" ref="E40:F40" si="9">E38/E39</f>
        <v>1.2629290809903511</v>
      </c>
      <c r="F40" s="4">
        <f t="shared" si="9"/>
        <v>1.4062484263533339</v>
      </c>
      <c r="G40" s="4"/>
      <c r="H40" s="4"/>
      <c r="I40" s="4"/>
      <c r="J40" s="4"/>
      <c r="K40" s="4"/>
      <c r="L40" s="4"/>
    </row>
    <row r="41" spans="3:12">
      <c r="D41" s="4"/>
      <c r="E41" s="4"/>
      <c r="F41" s="4"/>
      <c r="G41" s="4"/>
      <c r="H41" s="4"/>
      <c r="I41" s="4"/>
      <c r="J41" s="4"/>
      <c r="K41" s="4"/>
      <c r="L41" s="4"/>
    </row>
    <row r="42" spans="3:12">
      <c r="C42" s="2"/>
      <c r="D42" s="4"/>
      <c r="E42" s="4"/>
      <c r="F42" s="4"/>
      <c r="G42" s="4"/>
      <c r="H42" s="4"/>
      <c r="I42" s="4"/>
      <c r="J42" s="4"/>
      <c r="K42" s="4"/>
      <c r="L42" s="4"/>
    </row>
    <row r="43" spans="3:12">
      <c r="C43" t="s">
        <v>17</v>
      </c>
      <c r="D43" s="4"/>
      <c r="E43" s="4"/>
      <c r="F43" s="4"/>
      <c r="G43" s="4"/>
      <c r="H43" s="4"/>
      <c r="I43" s="4"/>
      <c r="J43" s="4"/>
      <c r="K43" s="4"/>
      <c r="L43" s="4"/>
    </row>
    <row r="44" spans="3:12">
      <c r="C44" t="s">
        <v>18</v>
      </c>
      <c r="D44" s="4"/>
      <c r="E44" s="4"/>
      <c r="F44" s="4"/>
      <c r="G44" s="4"/>
      <c r="H44" s="4"/>
      <c r="I44" s="4"/>
      <c r="J44" s="4"/>
      <c r="K44" s="4"/>
      <c r="L44" s="4"/>
    </row>
    <row r="45" spans="3:12">
      <c r="D45" s="4"/>
      <c r="E45" s="4"/>
      <c r="F45" s="4"/>
      <c r="G45" s="4"/>
      <c r="H45" s="4"/>
      <c r="I45" s="4"/>
      <c r="J45" s="4"/>
      <c r="K45" s="4"/>
      <c r="L45" s="4"/>
    </row>
    <row r="46" spans="3:12">
      <c r="D46" s="4"/>
      <c r="E46" s="4"/>
      <c r="F46" s="4"/>
      <c r="G46" s="4"/>
      <c r="H46" s="4"/>
      <c r="I46" s="4"/>
      <c r="J46" s="4"/>
      <c r="K46" s="4"/>
      <c r="L46" s="4"/>
    </row>
    <row r="47" spans="3:12">
      <c r="D47" s="4"/>
      <c r="E47" s="4"/>
      <c r="F47" s="4"/>
      <c r="G47" s="4"/>
      <c r="H47" s="4"/>
      <c r="I47" s="4"/>
      <c r="J47" s="4"/>
      <c r="K47" s="4"/>
      <c r="L47" s="4"/>
    </row>
    <row r="48" spans="3:12">
      <c r="C48" t="s">
        <v>179</v>
      </c>
      <c r="D48" s="4"/>
      <c r="E48" s="4"/>
      <c r="F48" s="4"/>
      <c r="G48" s="4"/>
      <c r="H48" s="4"/>
      <c r="I48" s="4"/>
      <c r="J48" s="4"/>
      <c r="K48" s="4"/>
      <c r="L48" s="4"/>
    </row>
    <row r="49" spans="3:15">
      <c r="D49" s="4"/>
      <c r="E49" s="4"/>
      <c r="F49" s="4"/>
      <c r="G49" s="4"/>
      <c r="H49" s="4"/>
      <c r="I49" s="4"/>
      <c r="J49" s="4"/>
      <c r="K49" s="4"/>
      <c r="L49" s="4"/>
    </row>
    <row r="50" spans="3:15">
      <c r="D50" s="4"/>
      <c r="E50" s="4"/>
      <c r="F50" s="4"/>
      <c r="G50" s="4"/>
      <c r="H50" s="4"/>
      <c r="I50" s="4"/>
      <c r="J50" s="4"/>
      <c r="K50" s="4"/>
      <c r="L50" s="4"/>
    </row>
    <row r="51" spans="3:15">
      <c r="C51" s="2"/>
      <c r="D51" s="6"/>
      <c r="E51" s="6"/>
      <c r="F51" s="6"/>
      <c r="G51" s="6"/>
      <c r="H51" s="6"/>
      <c r="I51" s="6"/>
      <c r="J51" s="6"/>
      <c r="K51" s="6"/>
      <c r="L51" s="5"/>
      <c r="M51" s="5"/>
      <c r="N51" s="5"/>
      <c r="O51" s="5"/>
    </row>
    <row r="52" spans="3:15">
      <c r="D52" s="4"/>
      <c r="E52" s="4"/>
      <c r="F52" s="4"/>
      <c r="G52" s="4"/>
      <c r="H52" s="4"/>
      <c r="I52" s="4"/>
      <c r="J52" s="4"/>
      <c r="K52" s="4"/>
      <c r="L52" s="4"/>
    </row>
    <row r="53" spans="3:15">
      <c r="D53" s="4"/>
      <c r="E53" s="4"/>
      <c r="F53" s="4"/>
      <c r="G53" s="4"/>
      <c r="H53" s="4"/>
      <c r="I53" s="4"/>
      <c r="J53" s="4"/>
      <c r="K53" s="4"/>
      <c r="L53" s="4"/>
    </row>
    <row r="54" spans="3:15">
      <c r="D54" s="4"/>
      <c r="E54" s="4"/>
      <c r="F54" s="4"/>
      <c r="G54" s="4"/>
      <c r="H54" s="4"/>
      <c r="I54" s="4"/>
      <c r="J54" s="4"/>
      <c r="K54" s="4"/>
      <c r="L54" s="4"/>
    </row>
    <row r="55" spans="3:15">
      <c r="C55" s="2"/>
      <c r="D55" s="4"/>
      <c r="E55" s="4"/>
      <c r="F55" s="4"/>
      <c r="G55" s="4"/>
      <c r="H55" s="4"/>
      <c r="I55" s="4"/>
      <c r="J55" s="4"/>
      <c r="K55" s="4"/>
      <c r="L55" s="4"/>
    </row>
    <row r="56" spans="3:15">
      <c r="D56" s="4"/>
      <c r="E56" s="4"/>
      <c r="F56" s="4"/>
      <c r="G56" s="4"/>
      <c r="H56" s="4"/>
      <c r="I56" s="4"/>
      <c r="J56" s="4"/>
      <c r="K56" s="4"/>
      <c r="L56" s="4"/>
    </row>
    <row r="57" spans="3:15">
      <c r="H57" s="4"/>
      <c r="I57" s="4"/>
      <c r="J57" s="4"/>
      <c r="K57" s="4"/>
      <c r="L57" s="4"/>
    </row>
    <row r="58" spans="3:15">
      <c r="H58" s="4"/>
      <c r="I58" s="4"/>
      <c r="J58" s="4"/>
      <c r="K58" s="4"/>
      <c r="L58" s="4"/>
    </row>
  </sheetData>
  <mergeCells count="3">
    <mergeCell ref="D9:F9"/>
    <mergeCell ref="A1:M1"/>
    <mergeCell ref="C6:K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AA71-C45F-4DBA-A395-824F6DAC8394}">
  <dimension ref="A1:L62"/>
  <sheetViews>
    <sheetView topLeftCell="A4" workbookViewId="0">
      <selection activeCell="I57" sqref="I57"/>
    </sheetView>
  </sheetViews>
  <sheetFormatPr defaultRowHeight="14.5"/>
  <cols>
    <col min="2" max="2" width="14.7265625" customWidth="1"/>
  </cols>
  <sheetData>
    <row r="1" spans="1:12">
      <c r="A1" s="18" t="s">
        <v>13</v>
      </c>
      <c r="B1" s="18"/>
      <c r="C1" s="18"/>
      <c r="D1" s="18"/>
      <c r="E1" s="18"/>
      <c r="F1" s="18"/>
      <c r="G1" s="18"/>
      <c r="H1" s="18"/>
      <c r="I1" s="18"/>
      <c r="J1" s="18"/>
      <c r="K1" s="18"/>
      <c r="L1" s="18"/>
    </row>
    <row r="3" spans="1:12">
      <c r="A3" t="s">
        <v>1</v>
      </c>
      <c r="B3" s="1" t="s">
        <v>4</v>
      </c>
    </row>
    <row r="4" spans="1:12">
      <c r="A4" t="s">
        <v>2</v>
      </c>
      <c r="B4" t="s">
        <v>5</v>
      </c>
    </row>
    <row r="5" spans="1:12">
      <c r="A5" t="s">
        <v>8</v>
      </c>
      <c r="B5" t="s">
        <v>12</v>
      </c>
    </row>
    <row r="6" spans="1:12">
      <c r="F6" s="18" t="s">
        <v>6</v>
      </c>
      <c r="G6" s="18"/>
      <c r="H6" s="18"/>
      <c r="I6" s="18"/>
    </row>
    <row r="7" spans="1:12">
      <c r="D7" t="s">
        <v>101</v>
      </c>
      <c r="E7" t="s">
        <v>102</v>
      </c>
      <c r="F7" t="s">
        <v>103</v>
      </c>
      <c r="G7" t="s">
        <v>129</v>
      </c>
    </row>
    <row r="8" spans="1:12">
      <c r="B8" s="2" t="s">
        <v>14</v>
      </c>
      <c r="D8" s="15"/>
      <c r="E8" s="15"/>
      <c r="F8" s="15"/>
      <c r="G8" s="15"/>
    </row>
    <row r="9" spans="1:12">
      <c r="D9" s="15"/>
      <c r="E9" s="15"/>
      <c r="F9" s="15"/>
      <c r="G9" s="15"/>
    </row>
    <row r="10" spans="1:12">
      <c r="B10" t="s">
        <v>130</v>
      </c>
      <c r="D10" s="15">
        <v>5142.05</v>
      </c>
      <c r="E10" s="15">
        <v>4655.2</v>
      </c>
      <c r="F10" s="15">
        <v>3648.83</v>
      </c>
      <c r="G10" s="15">
        <f>3290+3310-5130</f>
        <v>1470</v>
      </c>
      <c r="H10">
        <f>SUM(G10:G11)</f>
        <v>1470</v>
      </c>
    </row>
    <row r="11" spans="1:12">
      <c r="B11" t="s">
        <v>155</v>
      </c>
      <c r="D11" s="15">
        <v>5222.21</v>
      </c>
      <c r="E11" s="15">
        <v>2695.81</v>
      </c>
      <c r="F11" s="15">
        <v>3535.25</v>
      </c>
      <c r="G11" s="15"/>
    </row>
    <row r="12" spans="1:12">
      <c r="B12" t="s">
        <v>15</v>
      </c>
      <c r="D12" s="15">
        <v>3523.7</v>
      </c>
      <c r="E12" s="15">
        <v>3162.14</v>
      </c>
      <c r="F12" s="15">
        <v>5112.8999999999996</v>
      </c>
      <c r="G12" s="15"/>
    </row>
    <row r="13" spans="1:12">
      <c r="B13" t="s">
        <v>154</v>
      </c>
      <c r="D13" s="15">
        <v>261.52</v>
      </c>
      <c r="E13" s="15">
        <v>102.61</v>
      </c>
      <c r="F13" s="15">
        <v>202.5</v>
      </c>
      <c r="G13" s="15"/>
    </row>
    <row r="14" spans="1:12">
      <c r="B14" t="s">
        <v>16</v>
      </c>
      <c r="D14" s="15">
        <v>1386.72</v>
      </c>
      <c r="E14" s="15">
        <v>793.75</v>
      </c>
      <c r="F14" s="15">
        <v>807.65</v>
      </c>
      <c r="G14" s="15"/>
    </row>
    <row r="15" spans="1:12">
      <c r="B15" s="10" t="s">
        <v>109</v>
      </c>
      <c r="D15" s="15">
        <f>SUM(D10:D14)</f>
        <v>15536.199999999999</v>
      </c>
      <c r="E15" s="15">
        <f>SUM(E10:E14)</f>
        <v>11409.51</v>
      </c>
      <c r="F15" s="15">
        <f>SUM(F10:F14)</f>
        <v>13307.13</v>
      </c>
      <c r="G15" s="15"/>
    </row>
    <row r="16" spans="1:12">
      <c r="D16" s="15"/>
      <c r="E16" s="15"/>
      <c r="F16" s="15"/>
      <c r="G16" s="15"/>
      <c r="L16" s="15"/>
    </row>
    <row r="17" spans="2:12">
      <c r="B17" t="s">
        <v>110</v>
      </c>
      <c r="D17" s="15">
        <v>34584.25</v>
      </c>
      <c r="E17" s="15">
        <v>36290.22</v>
      </c>
      <c r="F17" s="15">
        <v>39823</v>
      </c>
      <c r="G17" s="15"/>
      <c r="I17" s="15">
        <f>F17-E17</f>
        <v>3532.7799999999988</v>
      </c>
      <c r="L17" s="15"/>
    </row>
    <row r="18" spans="2:12">
      <c r="B18" t="s">
        <v>111</v>
      </c>
      <c r="D18" s="15">
        <v>-9013.35</v>
      </c>
      <c r="E18" s="15">
        <f>-10305.82</f>
        <v>-10305.82</v>
      </c>
      <c r="F18" s="15">
        <f>-11775.27</f>
        <v>-11775.27</v>
      </c>
      <c r="G18" s="15"/>
      <c r="I18" s="15">
        <f>E17-D17</f>
        <v>1705.9700000000012</v>
      </c>
    </row>
    <row r="19" spans="2:12">
      <c r="B19" t="s">
        <v>158</v>
      </c>
      <c r="D19" s="15">
        <f>D17+D18</f>
        <v>25570.9</v>
      </c>
      <c r="E19" s="15">
        <f t="shared" ref="E19:F19" si="0">E17+E18</f>
        <v>25984.400000000001</v>
      </c>
      <c r="F19" s="15">
        <f t="shared" si="0"/>
        <v>28047.73</v>
      </c>
      <c r="G19" s="15"/>
    </row>
    <row r="20" spans="2:12">
      <c r="B20" t="s">
        <v>20</v>
      </c>
      <c r="D20" s="15">
        <v>6254.76</v>
      </c>
      <c r="E20" s="15">
        <f>6421.24</f>
        <v>6421.24</v>
      </c>
      <c r="F20" s="15">
        <f>6141.12</f>
        <v>6141.12</v>
      </c>
      <c r="G20" s="15"/>
    </row>
    <row r="21" spans="2:12">
      <c r="B21" t="s">
        <v>21</v>
      </c>
      <c r="D21" s="15">
        <v>15.71</v>
      </c>
      <c r="E21" s="15">
        <v>15.71</v>
      </c>
      <c r="F21" s="15">
        <v>15.71</v>
      </c>
      <c r="G21" s="15"/>
    </row>
    <row r="22" spans="2:12">
      <c r="B22" t="s">
        <v>112</v>
      </c>
      <c r="D22" s="15">
        <v>5043.6499999999996</v>
      </c>
      <c r="E22" s="15">
        <v>5549</v>
      </c>
      <c r="F22" s="15">
        <v>5420.84</v>
      </c>
      <c r="G22" s="15"/>
    </row>
    <row r="23" spans="2:12">
      <c r="B23" t="s">
        <v>156</v>
      </c>
      <c r="D23" s="15">
        <v>689.65</v>
      </c>
      <c r="E23" s="15">
        <v>629.26</v>
      </c>
      <c r="F23" s="15">
        <v>620.83000000000004</v>
      </c>
      <c r="G23" s="15"/>
    </row>
    <row r="24" spans="2:12">
      <c r="B24" s="10" t="s">
        <v>157</v>
      </c>
      <c r="D24" s="15">
        <f>SUM(D19:D23)</f>
        <v>37574.670000000006</v>
      </c>
      <c r="E24" s="15">
        <f t="shared" ref="E24:F24" si="1">SUM(E19:E23)</f>
        <v>38599.61</v>
      </c>
      <c r="F24" s="15">
        <f t="shared" si="1"/>
        <v>40246.229999999996</v>
      </c>
      <c r="G24" s="15"/>
    </row>
    <row r="25" spans="2:12">
      <c r="B25" s="10" t="s">
        <v>22</v>
      </c>
      <c r="D25" s="15">
        <f>D15+D24</f>
        <v>53110.87</v>
      </c>
      <c r="E25" s="15">
        <f t="shared" ref="E25:F25" si="2">E15+E24</f>
        <v>50009.120000000003</v>
      </c>
      <c r="F25" s="15">
        <f t="shared" si="2"/>
        <v>53553.359999999993</v>
      </c>
      <c r="G25" s="15"/>
    </row>
    <row r="26" spans="2:12">
      <c r="D26" s="15"/>
      <c r="E26" s="15"/>
      <c r="F26" s="15"/>
      <c r="G26" s="15"/>
    </row>
    <row r="27" spans="2:12">
      <c r="D27" s="15"/>
      <c r="E27" s="15"/>
      <c r="F27" s="15"/>
      <c r="G27" s="15"/>
    </row>
    <row r="28" spans="2:12">
      <c r="D28" s="15"/>
      <c r="E28" s="15"/>
      <c r="F28" s="15"/>
      <c r="G28" s="15"/>
    </row>
    <row r="29" spans="2:12">
      <c r="B29" s="10" t="s">
        <v>23</v>
      </c>
      <c r="D29" s="15"/>
      <c r="E29" s="15"/>
      <c r="F29" s="15"/>
      <c r="G29" s="15"/>
    </row>
    <row r="30" spans="2:12">
      <c r="D30" s="15"/>
      <c r="E30" s="15"/>
      <c r="F30" s="15"/>
      <c r="G30" s="15"/>
    </row>
    <row r="31" spans="2:12">
      <c r="B31" t="s">
        <v>113</v>
      </c>
      <c r="D31" s="15">
        <v>2525.0100000000002</v>
      </c>
      <c r="E31" s="15">
        <v>2248.9499999999998</v>
      </c>
      <c r="F31" s="15">
        <v>2801.68</v>
      </c>
      <c r="G31" s="15"/>
    </row>
    <row r="32" spans="2:12">
      <c r="B32" t="s">
        <v>114</v>
      </c>
      <c r="D32" s="15">
        <v>366.01</v>
      </c>
      <c r="E32" s="15">
        <v>358.89</v>
      </c>
      <c r="F32" s="15">
        <v>467.13</v>
      </c>
      <c r="G32" s="15"/>
    </row>
    <row r="33" spans="2:7">
      <c r="B33" t="s">
        <v>115</v>
      </c>
      <c r="D33" s="15">
        <v>11062.61</v>
      </c>
      <c r="E33" s="15">
        <v>8110.19</v>
      </c>
      <c r="F33" s="15">
        <f>5203.61</f>
        <v>5203.6099999999997</v>
      </c>
      <c r="G33" s="15"/>
    </row>
    <row r="34" spans="2:7" ht="40.5" customHeight="1">
      <c r="B34" s="16" t="s">
        <v>116</v>
      </c>
      <c r="D34" s="15">
        <v>3683.86</v>
      </c>
      <c r="E34" s="15">
        <v>2733.48</v>
      </c>
      <c r="F34" s="15">
        <v>2504.04</v>
      </c>
      <c r="G34" s="15"/>
    </row>
    <row r="35" spans="2:7">
      <c r="B35" t="s">
        <v>24</v>
      </c>
      <c r="D35" s="15">
        <v>2364.36</v>
      </c>
      <c r="E35" s="15">
        <v>1897.42</v>
      </c>
      <c r="F35" s="15">
        <f>3292.66</f>
        <v>3292.66</v>
      </c>
      <c r="G35" s="15"/>
    </row>
    <row r="36" spans="2:7">
      <c r="B36" s="10" t="s">
        <v>117</v>
      </c>
      <c r="D36" s="15">
        <f>SUM(D31:D35)</f>
        <v>20001.850000000002</v>
      </c>
      <c r="E36" s="15">
        <f t="shared" ref="E36:F36" si="3">SUM(E31:E35)</f>
        <v>15348.929999999998</v>
      </c>
      <c r="F36" s="15">
        <f t="shared" si="3"/>
        <v>14269.119999999999</v>
      </c>
      <c r="G36" s="15"/>
    </row>
    <row r="37" spans="2:7">
      <c r="D37" s="15"/>
      <c r="E37" s="15"/>
      <c r="F37" s="15"/>
      <c r="G37" s="15"/>
    </row>
    <row r="38" spans="2:7">
      <c r="D38" s="15"/>
      <c r="E38" s="15"/>
      <c r="F38" s="15"/>
      <c r="G38" s="15"/>
    </row>
    <row r="39" spans="2:7">
      <c r="B39" t="s">
        <v>118</v>
      </c>
      <c r="D39" s="15">
        <v>9950.64</v>
      </c>
      <c r="E39" s="15">
        <v>13595.16</v>
      </c>
      <c r="F39" s="15">
        <v>15716.43</v>
      </c>
      <c r="G39" s="15">
        <f>14940+F39-15140</f>
        <v>15516.43</v>
      </c>
    </row>
    <row r="40" spans="2:7" ht="29">
      <c r="B40" s="17" t="s">
        <v>119</v>
      </c>
      <c r="D40" s="15">
        <v>1108.47</v>
      </c>
      <c r="E40" s="15">
        <v>1008.96</v>
      </c>
      <c r="F40" s="15">
        <v>258.5</v>
      </c>
      <c r="G40" s="15"/>
    </row>
    <row r="41" spans="2:7">
      <c r="B41" t="s">
        <v>120</v>
      </c>
      <c r="D41" s="15">
        <f>D39+D40</f>
        <v>11059.109999999999</v>
      </c>
      <c r="E41" s="15">
        <f t="shared" ref="E41:F41" si="4">E39+E40</f>
        <v>14604.119999999999</v>
      </c>
      <c r="F41" s="15">
        <f t="shared" si="4"/>
        <v>15974.93</v>
      </c>
      <c r="G41" s="15"/>
    </row>
    <row r="42" spans="2:7">
      <c r="B42" t="s">
        <v>121</v>
      </c>
      <c r="D42" s="15"/>
      <c r="E42" s="15"/>
      <c r="F42" s="15"/>
      <c r="G42" s="15"/>
    </row>
    <row r="43" spans="2:7">
      <c r="B43" t="s">
        <v>122</v>
      </c>
      <c r="D43" s="15">
        <v>250.76</v>
      </c>
      <c r="E43" s="15">
        <v>237.94</v>
      </c>
      <c r="F43" s="15">
        <v>223.73</v>
      </c>
      <c r="G43" s="15"/>
    </row>
    <row r="44" spans="2:7">
      <c r="B44" t="s">
        <v>123</v>
      </c>
      <c r="D44" s="15">
        <v>1572.26</v>
      </c>
      <c r="E44" s="15">
        <v>1532.19</v>
      </c>
      <c r="F44" s="15">
        <v>1709.88</v>
      </c>
      <c r="G44" s="15"/>
    </row>
    <row r="45" spans="2:7">
      <c r="D45" s="15"/>
      <c r="E45" s="15"/>
      <c r="F45" s="15"/>
      <c r="G45" s="15"/>
    </row>
    <row r="46" spans="2:7">
      <c r="B46" t="s">
        <v>124</v>
      </c>
      <c r="D46" s="15">
        <f>D36+D41+D43+D44</f>
        <v>32883.979999999996</v>
      </c>
      <c r="E46" s="15">
        <f t="shared" ref="E46:F46" si="5">E36+E41+E43+E44</f>
        <v>31723.179999999993</v>
      </c>
      <c r="F46" s="15">
        <f t="shared" si="5"/>
        <v>32177.66</v>
      </c>
      <c r="G46" s="15"/>
    </row>
    <row r="47" spans="2:7">
      <c r="D47" s="15"/>
      <c r="E47" s="15"/>
      <c r="F47" s="15"/>
      <c r="G47" s="15"/>
    </row>
    <row r="48" spans="2:7">
      <c r="D48" s="15"/>
      <c r="E48" s="15"/>
      <c r="F48" s="15"/>
      <c r="G48" s="15"/>
    </row>
    <row r="49" spans="2:7">
      <c r="B49" s="10" t="s">
        <v>25</v>
      </c>
      <c r="D49" s="15"/>
      <c r="E49" s="15"/>
      <c r="F49" s="15"/>
      <c r="G49" s="15"/>
    </row>
    <row r="50" spans="2:7">
      <c r="B50" t="s">
        <v>125</v>
      </c>
      <c r="D50" s="15">
        <v>2383</v>
      </c>
      <c r="E50" s="15">
        <v>2383</v>
      </c>
      <c r="F50" s="15">
        <v>2383</v>
      </c>
      <c r="G50" s="15"/>
    </row>
    <row r="51" spans="2:7">
      <c r="B51" t="s">
        <v>26</v>
      </c>
      <c r="D51" s="15">
        <v>5373.16</v>
      </c>
      <c r="E51" s="15">
        <v>4980.71</v>
      </c>
      <c r="F51" s="15">
        <v>4994.78</v>
      </c>
      <c r="G51" s="15"/>
    </row>
    <row r="52" spans="2:7">
      <c r="B52" t="s">
        <v>27</v>
      </c>
      <c r="D52" s="15">
        <v>8369.74</v>
      </c>
      <c r="E52" s="15">
        <v>7803.32</v>
      </c>
      <c r="F52" s="15">
        <v>9560.32</v>
      </c>
      <c r="G52" s="15"/>
    </row>
    <row r="53" spans="2:7">
      <c r="B53" t="s">
        <v>126</v>
      </c>
      <c r="D53" s="15">
        <f>87.92+6.71</f>
        <v>94.63</v>
      </c>
      <c r="E53" s="15">
        <f>93.13+7.92</f>
        <v>101.05</v>
      </c>
      <c r="F53" s="15">
        <f>145.11+6.64</f>
        <v>151.75</v>
      </c>
      <c r="G53" s="15"/>
    </row>
    <row r="54" spans="2:7">
      <c r="B54" t="s">
        <v>127</v>
      </c>
      <c r="D54" s="15">
        <f>SUM(D50:D53)</f>
        <v>16220.529999999999</v>
      </c>
      <c r="E54" s="15">
        <f t="shared" ref="E54:F54" si="6">SUM(E50:E53)</f>
        <v>15268.079999999998</v>
      </c>
      <c r="F54" s="15">
        <f t="shared" si="6"/>
        <v>17089.849999999999</v>
      </c>
      <c r="G54" s="15"/>
    </row>
    <row r="55" spans="2:7">
      <c r="D55" s="15"/>
      <c r="E55" s="15"/>
      <c r="F55" s="15"/>
      <c r="G55" s="15"/>
    </row>
    <row r="56" spans="2:7">
      <c r="B56" t="s">
        <v>128</v>
      </c>
      <c r="D56" s="15"/>
      <c r="E56" s="15"/>
      <c r="F56" s="15"/>
      <c r="G56" s="15"/>
    </row>
    <row r="57" spans="2:7">
      <c r="D57" s="15"/>
      <c r="E57" s="15"/>
      <c r="F57" s="15"/>
      <c r="G57" s="15"/>
    </row>
    <row r="58" spans="2:7">
      <c r="B58" t="s">
        <v>28</v>
      </c>
      <c r="D58" s="15">
        <v>5672.15</v>
      </c>
      <c r="E58" s="15">
        <v>5075.47</v>
      </c>
      <c r="F58" s="15">
        <v>4435.6099999999997</v>
      </c>
      <c r="G58" s="15">
        <f>5800+5670-5280</f>
        <v>6190</v>
      </c>
    </row>
    <row r="61" spans="2:7">
      <c r="B61" t="s">
        <v>183</v>
      </c>
      <c r="D61">
        <f>'income statement'!D38/'balance sheet '!D54</f>
        <v>0.21273041016538885</v>
      </c>
      <c r="E61">
        <f>'income statement'!E38/'balance sheet '!E54</f>
        <v>0.19711450293684649</v>
      </c>
      <c r="F61">
        <f>'income statement'!F38/'balance sheet '!F54</f>
        <v>0.196086566002627</v>
      </c>
    </row>
    <row r="62" spans="2:7">
      <c r="B62" t="s">
        <v>184</v>
      </c>
    </row>
  </sheetData>
  <mergeCells count="2">
    <mergeCell ref="A1:L1"/>
    <mergeCell ref="F6:I6"/>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35352-4FD5-423C-9FE2-B68963AD4B3A}">
  <dimension ref="A1:L51"/>
  <sheetViews>
    <sheetView zoomScale="91" workbookViewId="0">
      <selection activeCell="H13" sqref="H13"/>
    </sheetView>
  </sheetViews>
  <sheetFormatPr defaultRowHeight="14.5"/>
  <sheetData>
    <row r="1" spans="1:12">
      <c r="A1" s="18" t="s">
        <v>29</v>
      </c>
      <c r="B1" s="18"/>
      <c r="C1" s="18"/>
      <c r="D1" s="18"/>
      <c r="E1" s="18"/>
      <c r="F1" s="18"/>
      <c r="G1" s="18"/>
      <c r="H1" s="18"/>
      <c r="I1" s="18"/>
      <c r="J1" s="18"/>
      <c r="K1" s="18"/>
      <c r="L1" s="18"/>
    </row>
    <row r="3" spans="1:12">
      <c r="A3" t="s">
        <v>1</v>
      </c>
      <c r="B3" s="1" t="s">
        <v>4</v>
      </c>
    </row>
    <row r="4" spans="1:12">
      <c r="A4" t="s">
        <v>2</v>
      </c>
      <c r="B4" s="7" t="s">
        <v>5</v>
      </c>
    </row>
    <row r="5" spans="1:12">
      <c r="A5" t="s">
        <v>8</v>
      </c>
      <c r="B5" t="s">
        <v>12</v>
      </c>
    </row>
    <row r="6" spans="1:12">
      <c r="F6" s="18" t="s">
        <v>6</v>
      </c>
      <c r="G6" s="18"/>
      <c r="H6" s="18"/>
      <c r="I6" s="18"/>
    </row>
    <row r="7" spans="1:12">
      <c r="E7">
        <v>2022</v>
      </c>
      <c r="F7">
        <v>2023</v>
      </c>
      <c r="G7">
        <v>2024</v>
      </c>
      <c r="H7" t="s">
        <v>79</v>
      </c>
    </row>
    <row r="8" spans="1:12">
      <c r="B8" s="2"/>
    </row>
    <row r="9" spans="1:12">
      <c r="B9" t="s">
        <v>131</v>
      </c>
    </row>
    <row r="10" spans="1:12">
      <c r="B10" t="s">
        <v>132</v>
      </c>
    </row>
    <row r="11" spans="1:12">
      <c r="B11" s="10" t="s">
        <v>133</v>
      </c>
    </row>
    <row r="13" spans="1:12">
      <c r="B13" t="s">
        <v>134</v>
      </c>
      <c r="E13">
        <f>1893.04</f>
        <v>1893.04</v>
      </c>
      <c r="F13">
        <v>2888.53</v>
      </c>
      <c r="G13">
        <v>3290.88</v>
      </c>
    </row>
    <row r="14" spans="1:12">
      <c r="B14" t="s">
        <v>135</v>
      </c>
    </row>
    <row r="15" spans="1:12">
      <c r="B15" s="10" t="s">
        <v>136</v>
      </c>
    </row>
    <row r="17" spans="2:2">
      <c r="B17" t="s">
        <v>137</v>
      </c>
    </row>
    <row r="18" spans="2:2">
      <c r="B18" t="s">
        <v>138</v>
      </c>
    </row>
    <row r="19" spans="2:2">
      <c r="B19" t="s">
        <v>139</v>
      </c>
    </row>
    <row r="20" spans="2:2">
      <c r="B20" s="10" t="s">
        <v>140</v>
      </c>
    </row>
    <row r="22" spans="2:2">
      <c r="B22" s="2" t="s">
        <v>32</v>
      </c>
    </row>
    <row r="23" spans="2:2">
      <c r="B23" t="s">
        <v>33</v>
      </c>
    </row>
    <row r="24" spans="2:2">
      <c r="B24" t="s">
        <v>34</v>
      </c>
    </row>
    <row r="25" spans="2:2">
      <c r="B25" t="s">
        <v>30</v>
      </c>
    </row>
    <row r="26" spans="2:2">
      <c r="B26" s="2" t="s">
        <v>35</v>
      </c>
    </row>
    <row r="28" spans="2:2">
      <c r="B28" t="s">
        <v>36</v>
      </c>
    </row>
    <row r="29" spans="2:2">
      <c r="B29" t="s">
        <v>37</v>
      </c>
    </row>
    <row r="30" spans="2:2">
      <c r="B30" t="s">
        <v>31</v>
      </c>
    </row>
    <row r="31" spans="2:2">
      <c r="B31" s="2" t="s">
        <v>38</v>
      </c>
    </row>
    <row r="33" spans="2:2">
      <c r="B33" s="2" t="s">
        <v>39</v>
      </c>
    </row>
    <row r="35" spans="2:2">
      <c r="B35" s="2" t="s">
        <v>40</v>
      </c>
    </row>
    <row r="36" spans="2:2">
      <c r="B36" s="3" t="s">
        <v>42</v>
      </c>
    </row>
    <row r="37" spans="2:2">
      <c r="B37" s="3" t="s">
        <v>41</v>
      </c>
    </row>
    <row r="38" spans="2:2">
      <c r="B38" s="3" t="s">
        <v>30</v>
      </c>
    </row>
    <row r="39" spans="2:2">
      <c r="B39" s="3" t="s">
        <v>43</v>
      </c>
    </row>
    <row r="41" spans="2:2">
      <c r="B41" t="s">
        <v>44</v>
      </c>
    </row>
    <row r="42" spans="2:2">
      <c r="B42" t="s">
        <v>45</v>
      </c>
    </row>
    <row r="43" spans="2:2">
      <c r="B43" t="s">
        <v>46</v>
      </c>
    </row>
    <row r="44" spans="2:2">
      <c r="B44" t="s">
        <v>31</v>
      </c>
    </row>
    <row r="45" spans="2:2">
      <c r="B45" t="s">
        <v>47</v>
      </c>
    </row>
    <row r="47" spans="2:2">
      <c r="B47" t="s">
        <v>48</v>
      </c>
    </row>
    <row r="49" spans="2:2">
      <c r="B49" t="s">
        <v>49</v>
      </c>
    </row>
    <row r="50" spans="2:2">
      <c r="B50" t="s">
        <v>50</v>
      </c>
    </row>
    <row r="51" spans="2:2">
      <c r="B51" t="s">
        <v>51</v>
      </c>
    </row>
  </sheetData>
  <mergeCells count="2">
    <mergeCell ref="A1:L1"/>
    <mergeCell ref="F6:I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 valuation</vt:lpstr>
      <vt:lpstr>DCF</vt:lpstr>
      <vt:lpstr>working capital projection</vt:lpstr>
      <vt:lpstr>income statement</vt:lpstr>
      <vt:lpstr>balance sheet </vt:lpstr>
      <vt:lpstr>cash 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杨澍</dc:creator>
  <cp:lastModifiedBy>YANG, Shu</cp:lastModifiedBy>
  <dcterms:created xsi:type="dcterms:W3CDTF">2015-06-05T18:19:34Z</dcterms:created>
  <dcterms:modified xsi:type="dcterms:W3CDTF">2025-07-31T04:55:04Z</dcterms:modified>
</cp:coreProperties>
</file>